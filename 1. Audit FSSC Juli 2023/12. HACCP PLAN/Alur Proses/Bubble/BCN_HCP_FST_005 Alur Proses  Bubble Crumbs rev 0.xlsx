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2. HACCP PLAN\Alur Proses\Bubble\"/>
    </mc:Choice>
  </mc:AlternateContent>
  <xr:revisionPtr revIDLastSave="0" documentId="13_ncr:1_{F9957D98-0425-4304-9E68-CDA452CD35C7}" xr6:coauthVersionLast="47" xr6:coauthVersionMax="47" xr10:uidLastSave="{00000000-0000-0000-0000-000000000000}"/>
  <bookViews>
    <workbookView xWindow="-120" yWindow="-120" windowWidth="21840" windowHeight="13140" tabRatio="891" xr2:uid="{00000000-000D-0000-FFFF-FFFF00000000}"/>
  </bookViews>
  <sheets>
    <sheet name="05. Analisa bahaya Rev 060317 " sheetId="11" r:id="rId1"/>
    <sheet name="L1. penilaian Rev 060317" sheetId="12" r:id="rId2"/>
    <sheet name="L2. Matrix 060317" sheetId="13" r:id="rId3"/>
    <sheet name="L3. Pohon keputusan" sheetId="7" r:id="rId4"/>
  </sheets>
  <definedNames>
    <definedName name="_xlnm.Print_Area" localSheetId="0">'05. Analisa bahaya Rev 060317 '!$A$1:$Q$52</definedName>
  </definedNames>
  <calcPr calcId="191029"/>
</workbook>
</file>

<file path=xl/calcChain.xml><?xml version="1.0" encoding="utf-8"?>
<calcChain xmlns="http://schemas.openxmlformats.org/spreadsheetml/2006/main">
  <c r="H38" i="11" l="1"/>
  <c r="I38" i="11" s="1"/>
  <c r="H34" i="11" l="1"/>
  <c r="H32" i="11"/>
  <c r="H31" i="11"/>
  <c r="H29" i="11"/>
  <c r="H28" i="11"/>
  <c r="H26" i="11"/>
  <c r="H25" i="11"/>
  <c r="H24" i="11"/>
  <c r="H23" i="11"/>
  <c r="H22" i="11"/>
  <c r="H20" i="11"/>
  <c r="H17" i="11"/>
  <c r="H16" i="11"/>
  <c r="H15" i="11"/>
  <c r="H12" i="11"/>
  <c r="I25" i="11" l="1"/>
  <c r="I24" i="11"/>
  <c r="I23" i="11"/>
  <c r="I22" i="11"/>
  <c r="H49" i="11"/>
  <c r="I49" i="11" s="1"/>
  <c r="I34" i="11"/>
  <c r="I32" i="11"/>
  <c r="I31" i="11"/>
  <c r="I29" i="11"/>
  <c r="I28" i="11"/>
  <c r="I26" i="11"/>
  <c r="I20" i="11"/>
  <c r="I15" i="11"/>
  <c r="I11" i="11"/>
  <c r="H9" i="11"/>
  <c r="I9" i="11" s="1"/>
</calcChain>
</file>

<file path=xl/sharedStrings.xml><?xml version="1.0" encoding="utf-8"?>
<sst xmlns="http://schemas.openxmlformats.org/spreadsheetml/2006/main" count="286" uniqueCount="144">
  <si>
    <t>No.</t>
  </si>
  <si>
    <t>Tahapan proses</t>
  </si>
  <si>
    <t>CCP</t>
  </si>
  <si>
    <t>Tindakan Pengendalian</t>
  </si>
  <si>
    <t>(jawab pertanyaan secara berurutan)</t>
  </si>
  <si>
    <t>P1</t>
  </si>
  <si>
    <t>P2</t>
  </si>
  <si>
    <t>P3</t>
  </si>
  <si>
    <t>P4</t>
  </si>
  <si>
    <t>Pohon Keputusan Untuk Identifikasi Titik Kontrol Kritis (CCP)</t>
  </si>
  <si>
    <t>-</t>
  </si>
  <si>
    <t>Lampiran 3</t>
  </si>
  <si>
    <t>Lampiran 2.</t>
  </si>
  <si>
    <t>Sumber Bahaya</t>
  </si>
  <si>
    <t>Penilaian Bahaya</t>
  </si>
  <si>
    <t>Q1</t>
  </si>
  <si>
    <t>Q2</t>
  </si>
  <si>
    <t>Q3</t>
  </si>
  <si>
    <t>Q4</t>
  </si>
  <si>
    <t>pohon keputusan</t>
  </si>
  <si>
    <t>Revisi</t>
  </si>
  <si>
    <t>Hazard Analysis Critical Control Point Plan</t>
  </si>
  <si>
    <t>Alasan</t>
  </si>
  <si>
    <t>L</t>
  </si>
  <si>
    <t>Y</t>
  </si>
  <si>
    <t>T</t>
  </si>
  <si>
    <t>Pengemasan dan Labelling</t>
  </si>
  <si>
    <t>Penempatan pada palet</t>
  </si>
  <si>
    <t>Kode Dokumen</t>
  </si>
  <si>
    <t>Jenis Bahaya</t>
  </si>
  <si>
    <t>S</t>
  </si>
  <si>
    <t>Nilai Risiko (LxS)</t>
  </si>
  <si>
    <t>Tingkat Risiko</t>
  </si>
  <si>
    <t>Kriteria Kemungkinan (Likelyhood/Possibilility)</t>
  </si>
  <si>
    <t>RANK</t>
  </si>
  <si>
    <t>Level Kemungkinan (L)</t>
  </si>
  <si>
    <t>Frekuensi Kejadian
(FK)</t>
  </si>
  <si>
    <t>Sering Terjadi</t>
  </si>
  <si>
    <t>Jarang/Mungkin Dapat Terjadi</t>
  </si>
  <si>
    <t xml:space="preserve">4 minggu - 24 minggu (6 bulan) </t>
  </si>
  <si>
    <t>Kecil Kemungkinan</t>
  </si>
  <si>
    <t xml:space="preserve">&gt; 6  bulan </t>
  </si>
  <si>
    <t>Kriteria Dampak (Severity)</t>
  </si>
  <si>
    <t>Level Dampak (S)</t>
  </si>
  <si>
    <t>KETERANGAN</t>
  </si>
  <si>
    <t>Tinggi</t>
  </si>
  <si>
    <t>Berdampak kesehatan yang memerlukan perawatan RS 1-5 hari, memerlukan biaya cukup tinggi</t>
  </si>
  <si>
    <t>Sedang</t>
  </si>
  <si>
    <t>Memerlukan pelayanan pertolongan pertama,memerlukan biaya sedang</t>
  </si>
  <si>
    <t>Ringan</t>
  </si>
  <si>
    <t>Tidak memerlukan pertolongan, memerlukan biaya rendah</t>
  </si>
  <si>
    <t>‘Matriks Risiko’ dibawah ini harus digunakan sebagai petunjuk dalam proses Penilaian Risiko</t>
  </si>
  <si>
    <t>TINGKAT RISIKO</t>
  </si>
  <si>
    <t>NILAI TINGKAT RISIKO (L x S)</t>
  </si>
  <si>
    <t>TINDAKAN PERBAIKAN</t>
  </si>
  <si>
    <t>HIGH (Tinggi)</t>
  </si>
  <si>
    <t>LOW (Rendah)</t>
  </si>
  <si>
    <t>Penanganan cukup dengan prosedur rutin saja, tidak perlu memerlukan sumber daya yang spesifik atau training</t>
  </si>
  <si>
    <t>L X S</t>
  </si>
  <si>
    <t>SEVERITY (S)</t>
  </si>
  <si>
    <t>LIKELYHOOD</t>
  </si>
  <si>
    <t>2 (LOW)</t>
  </si>
  <si>
    <t>1 (LOW)</t>
  </si>
  <si>
    <t>4 (MEDIUM)</t>
  </si>
  <si>
    <t>Ket:</t>
  </si>
  <si>
    <t>Medium/High = Signifikan</t>
  </si>
  <si>
    <t>Low = Tidak Signifikan</t>
  </si>
  <si>
    <t>Lampiran 1.</t>
  </si>
  <si>
    <t>Matriks Tingkat Resiko</t>
  </si>
  <si>
    <t>: Pengendalian ditentukan berdasarkan pohon keputusan</t>
  </si>
  <si>
    <t>: Pengendalian berupa GMP</t>
  </si>
  <si>
    <t>Penyimpanan Barang</t>
  </si>
  <si>
    <t>LOW</t>
  </si>
  <si>
    <t>0 minggu  - 4 minggu</t>
  </si>
  <si>
    <t>1 - 2</t>
  </si>
  <si>
    <t>3 - 4</t>
  </si>
  <si>
    <t>6-9</t>
  </si>
  <si>
    <t>MEDIUM (Sedang)</t>
  </si>
  <si>
    <t>F</t>
  </si>
  <si>
    <t>Peralatan</t>
  </si>
  <si>
    <t>3 (MEDIUM)</t>
  </si>
  <si>
    <t>6 (HIGH)</t>
  </si>
  <si>
    <t>9 (HIGH)</t>
  </si>
  <si>
    <t>Perlu dikendalikan melalui CCP / CP / proses khusus</t>
  </si>
  <si>
    <t>Penyimpanan di Ruang Antara</t>
  </si>
  <si>
    <t>4a</t>
  </si>
  <si>
    <t xml:space="preserve">Pencampuran dan Pengadukan </t>
  </si>
  <si>
    <t>Penyimpanan barang  jadi</t>
  </si>
  <si>
    <t>Pengiriman</t>
  </si>
  <si>
    <t>OPRP</t>
  </si>
  <si>
    <t>PT. Berkat Cahaya Novena</t>
  </si>
  <si>
    <t>Level Dokumen</t>
  </si>
  <si>
    <t>Tanggal Efektif</t>
  </si>
  <si>
    <t>:  I</t>
  </si>
  <si>
    <t>Melewatkan Produk melalui metal detektor</t>
  </si>
  <si>
    <t>Keputusan CP/OPRP/ CQP</t>
  </si>
  <si>
    <t>K</t>
  </si>
  <si>
    <t>B</t>
  </si>
  <si>
    <t>Jamur, Kutu</t>
  </si>
  <si>
    <t>Lingkungan Kerja Jika Kemasan Rusak (Sobek, Bolong) Akibat Salah Penanganan</t>
  </si>
  <si>
    <t>Penerapan GMP, Pelaksanaan Instruksi Kerja Penanganan Produk Jadi yang Benar</t>
  </si>
  <si>
    <t>Tahapan Terakhir yang dapat Menghilangkan / Meminimalkan Potensi Bahaya</t>
  </si>
  <si>
    <t>Penggunaan Metal Detektor</t>
  </si>
  <si>
    <t>Serpihan Logam</t>
  </si>
  <si>
    <t>Penerimaan Barang  (Pemeriksaan Dokumen dan Barang)</t>
  </si>
  <si>
    <t>4b</t>
  </si>
  <si>
    <t>Pengayakan Tepung</t>
  </si>
  <si>
    <t xml:space="preserve">Penimbangan Tepung Terigu </t>
  </si>
  <si>
    <t>Alat Transportasi, Proses Pengiriman</t>
  </si>
  <si>
    <t>Penerapan GMP dan Prosedur Penerimaan Barang</t>
  </si>
  <si>
    <t>Penerapan GMP, Penanganan Bahan Baku</t>
  </si>
  <si>
    <t>Monitoring Ayakan</t>
  </si>
  <si>
    <t>Penerapan GMP, Kontrol Visual saat Penimbangan Bahan</t>
  </si>
  <si>
    <t>Monitoring Pencatatan Penimbangan, Kalibrasi Alat Timbang</t>
  </si>
  <si>
    <t>Penerapan GMP, Kontrol Visual saat Penuangan Bahan Baku ke Mixer</t>
  </si>
  <si>
    <t>Penerapan GMP, Pelaksanaan Prosedur dan Program Sanitasi Alat</t>
  </si>
  <si>
    <t>Lingkungan, Asal Bahan</t>
  </si>
  <si>
    <t>Asal Bahan, Proses , Ruang Penyimpanan</t>
  </si>
  <si>
    <t>Bawaan Bahan</t>
  </si>
  <si>
    <t>Kerikil</t>
  </si>
  <si>
    <t>Potongan Kemasan</t>
  </si>
  <si>
    <t>Akibat Salah Penanganan Selama Penyimpanan, Operator</t>
  </si>
  <si>
    <t>Proses Penimbangan</t>
  </si>
  <si>
    <t>Jumlah BTP di Luar Standar</t>
  </si>
  <si>
    <t>Potongan Kertas, Serpihan Plastik</t>
  </si>
  <si>
    <t>Potongan Kemasan Bahan Baku, Wadah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</si>
  <si>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S. Aereus, </t>
    </r>
    <r>
      <rPr>
        <sz val="10"/>
        <color theme="1"/>
        <rFont val="Calibri"/>
        <family val="2"/>
        <scheme val="minor"/>
      </rPr>
      <t>), Jamur</t>
    </r>
  </si>
  <si>
    <t>Debu, Potongan Kemasan (potongan kertas, benang) kutu pada tepung terigu</t>
  </si>
  <si>
    <t>CoA dari Supplier saat penermaan, penetapan GMP, Penanganan bahan baku yang baik (Monitoring temperatur dan kelembapan), Personal Higiene yang baik</t>
  </si>
  <si>
    <t>CoA dari Supplier saat penermaan, penetapan GMP, Penanganan bahan baku yang baik,  Personal Higiene yang baik</t>
  </si>
  <si>
    <t>Debu, Potongan Kemasan (potongan kertas, benang) kutu pada tepung terigu, beras dan jagung)</t>
  </si>
  <si>
    <t xml:space="preserve">Penimbangan Bahan selain Tepung </t>
  </si>
  <si>
    <t>Bahan Baku ,Akibat Salah Penanganan Selama Penyimpanan, Lingkungan Kerja</t>
  </si>
  <si>
    <t>, penerapan GHMP, pelaksanaan prosedur dan program sanitasi alat</t>
  </si>
  <si>
    <t>Extruksion</t>
  </si>
  <si>
    <t>Visual kontrol sebelum dan saat melakukan proses packing dan lewatkan MD</t>
  </si>
  <si>
    <t>Sisa Adonan yang Menempel pada mesin</t>
  </si>
  <si>
    <t>Transfer Product</t>
  </si>
  <si>
    <t>Sisa produk yang menempel pada pipa</t>
  </si>
  <si>
    <t>: 00</t>
  </si>
  <si>
    <r>
      <t>Mikroba (</t>
    </r>
    <r>
      <rPr>
        <i/>
        <sz val="10"/>
        <color theme="1"/>
        <rFont val="Calibri"/>
        <family val="2"/>
        <scheme val="minor"/>
      </rPr>
      <t xml:space="preserve">E. Coli, S. Aereus, </t>
    </r>
    <r>
      <rPr>
        <sz val="10"/>
        <color theme="1"/>
        <rFont val="Calibri"/>
        <family val="2"/>
        <scheme val="minor"/>
      </rPr>
      <t>), Jamur, TPC, enterobacteria, salmonella, kapang &amp; khamir</t>
    </r>
  </si>
  <si>
    <t>: 30 Juni 2023</t>
  </si>
  <si>
    <t>Bubble crumbs</t>
  </si>
  <si>
    <t>: BCN/HCP/FST/005f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</si>
</sst>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Arial Narrow"/>
      <family val="2"/>
    </font>
    <font>
      <b/>
      <sz val="10"/>
      <color indexed="9"/>
      <name val="Arial Narrow"/>
      <family val="2"/>
    </font>
    <font>
      <b/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7"/>
      <name val="Arial Narrow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9" fillId="0" borderId="0"/>
  </cellStyleXfs>
  <cellXfs count="13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/>
    <xf numFmtId="0" fontId="2" fillId="0" borderId="4" xfId="0" applyFont="1" applyBorder="1" applyAlignment="1">
      <alignment vertical="center"/>
    </xf>
    <xf numFmtId="0" fontId="2" fillId="0" borderId="16" xfId="0" applyFont="1" applyBorder="1"/>
    <xf numFmtId="0" fontId="2" fillId="0" borderId="12" xfId="0" applyFont="1" applyBorder="1" applyAlignment="1">
      <alignment vertical="center"/>
    </xf>
    <xf numFmtId="0" fontId="2" fillId="0" borderId="14" xfId="0" applyFont="1" applyBorder="1"/>
    <xf numFmtId="0" fontId="2" fillId="0" borderId="10" xfId="0" applyFont="1" applyBorder="1"/>
    <xf numFmtId="0" fontId="2" fillId="0" borderId="13" xfId="0" applyFont="1" applyBorder="1"/>
    <xf numFmtId="0" fontId="0" fillId="0" borderId="4" xfId="0" applyBorder="1"/>
    <xf numFmtId="0" fontId="2" fillId="0" borderId="12" xfId="0" applyFont="1" applyBorder="1"/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0" fillId="6" borderId="2" xfId="0" applyFill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9" fillId="7" borderId="18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0" fillId="0" borderId="22" xfId="0" quotePrefix="1" applyFont="1" applyBorder="1" applyAlignment="1">
      <alignment vertical="center" wrapText="1"/>
    </xf>
    <xf numFmtId="0" fontId="10" fillId="0" borderId="20" xfId="0" quotePrefix="1" applyFont="1" applyBorder="1" applyAlignment="1">
      <alignment vertical="center" wrapText="1"/>
    </xf>
    <xf numFmtId="0" fontId="10" fillId="0" borderId="0" xfId="0" quotePrefix="1" applyFont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2" fillId="8" borderId="26" xfId="1" applyFont="1" applyFill="1" applyBorder="1" applyAlignment="1">
      <alignment horizontal="center" vertical="center" wrapText="1"/>
    </xf>
    <xf numFmtId="0" fontId="12" fillId="8" borderId="24" xfId="1" applyFont="1" applyFill="1" applyBorder="1" applyAlignment="1">
      <alignment horizontal="center" vertical="center" wrapText="1"/>
    </xf>
    <xf numFmtId="0" fontId="12" fillId="8" borderId="19" xfId="1" applyFont="1" applyFill="1" applyBorder="1" applyAlignment="1">
      <alignment horizontal="center" vertical="center" wrapText="1"/>
    </xf>
    <xf numFmtId="49" fontId="12" fillId="0" borderId="2" xfId="2" quotePrefix="1" applyNumberFormat="1" applyFont="1" applyBorder="1" applyAlignment="1">
      <alignment horizontal="center" vertical="center" wrapText="1"/>
    </xf>
    <xf numFmtId="0" fontId="14" fillId="0" borderId="0" xfId="2" applyFont="1" applyAlignment="1">
      <alignment vertical="center" wrapText="1"/>
    </xf>
    <xf numFmtId="0" fontId="15" fillId="0" borderId="0" xfId="2" applyFont="1" applyAlignment="1">
      <alignment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6" fillId="0" borderId="0" xfId="2" applyFont="1" applyAlignment="1">
      <alignment vertical="center" wrapText="1"/>
    </xf>
    <xf numFmtId="0" fontId="4" fillId="12" borderId="8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1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9" xfId="0" applyBorder="1"/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10" borderId="28" xfId="1" applyFont="1" applyFill="1" applyBorder="1" applyAlignment="1">
      <alignment horizontal="center" vertical="center" wrapText="1"/>
    </xf>
    <xf numFmtId="0" fontId="13" fillId="10" borderId="29" xfId="1" applyFont="1" applyFill="1" applyBorder="1" applyAlignment="1">
      <alignment horizontal="center" vertical="center" wrapText="1"/>
    </xf>
    <xf numFmtId="0" fontId="16" fillId="0" borderId="30" xfId="2" applyFont="1" applyBorder="1" applyAlignment="1">
      <alignment horizontal="left" vertical="center" wrapText="1"/>
    </xf>
    <xf numFmtId="0" fontId="16" fillId="0" borderId="31" xfId="2" applyFont="1" applyBorder="1" applyAlignment="1">
      <alignment horizontal="left" vertical="center" wrapText="1"/>
    </xf>
    <xf numFmtId="0" fontId="13" fillId="5" borderId="27" xfId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 wrapText="1"/>
    </xf>
    <xf numFmtId="0" fontId="12" fillId="9" borderId="27" xfId="1" applyFont="1" applyFill="1" applyBorder="1" applyAlignment="1">
      <alignment horizontal="center" vertical="center" wrapText="1"/>
    </xf>
    <xf numFmtId="0" fontId="12" fillId="9" borderId="8" xfId="1" applyFont="1" applyFill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center" vertical="center" wrapText="1"/>
    </xf>
    <xf numFmtId="0" fontId="14" fillId="0" borderId="12" xfId="2" applyFont="1" applyBorder="1" applyAlignment="1">
      <alignment horizontal="center" vertical="center" wrapText="1"/>
    </xf>
    <xf numFmtId="0" fontId="14" fillId="0" borderId="34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8" borderId="23" xfId="1" applyFont="1" applyFill="1" applyBorder="1" applyAlignment="1">
      <alignment horizontal="center" vertical="center" wrapText="1"/>
    </xf>
    <xf numFmtId="0" fontId="12" fillId="8" borderId="25" xfId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4" fillId="11" borderId="9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 textRotation="255"/>
    </xf>
    <xf numFmtId="0" fontId="17" fillId="13" borderId="3" xfId="0" applyFont="1" applyFill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3169</xdr:colOff>
      <xdr:row>0</xdr:row>
      <xdr:rowOff>116418</xdr:rowOff>
    </xdr:from>
    <xdr:to>
      <xdr:col>1</xdr:col>
      <xdr:colOff>1047750</xdr:colOff>
      <xdr:row>4</xdr:row>
      <xdr:rowOff>130175</xdr:rowOff>
    </xdr:to>
    <xdr:pic>
      <xdr:nvPicPr>
        <xdr:cNvPr id="4" name="Picture 3" descr="logo bc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19" y="116418"/>
          <a:ext cx="1044581" cy="81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</xdr:row>
      <xdr:rowOff>114300</xdr:rowOff>
    </xdr:from>
    <xdr:to>
      <xdr:col>4</xdr:col>
      <xdr:colOff>180975</xdr:colOff>
      <xdr:row>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38150" y="876300"/>
          <a:ext cx="21812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ada tindakan pengendalian yang bersifat mencegah ?</a:t>
          </a:r>
        </a:p>
      </xdr:txBody>
    </xdr:sp>
    <xdr:clientData/>
  </xdr:twoCellAnchor>
  <xdr:twoCellAnchor>
    <xdr:from>
      <xdr:col>1</xdr:col>
      <xdr:colOff>9526</xdr:colOff>
      <xdr:row>9</xdr:row>
      <xdr:rowOff>95250</xdr:rowOff>
    </xdr:from>
    <xdr:to>
      <xdr:col>1</xdr:col>
      <xdr:colOff>561976</xdr:colOff>
      <xdr:row>10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19126" y="16192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7</xdr:col>
      <xdr:colOff>238125</xdr:colOff>
      <xdr:row>12</xdr:row>
      <xdr:rowOff>161925</xdr:rowOff>
    </xdr:from>
    <xdr:to>
      <xdr:col>8</xdr:col>
      <xdr:colOff>180975</xdr:colOff>
      <xdr:row>14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505325" y="225742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6</xdr:col>
      <xdr:colOff>266700</xdr:colOff>
      <xdr:row>20</xdr:row>
      <xdr:rowOff>76200</xdr:rowOff>
    </xdr:from>
    <xdr:to>
      <xdr:col>7</xdr:col>
      <xdr:colOff>209550</xdr:colOff>
      <xdr:row>21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924300" y="3695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28575</xdr:colOff>
      <xdr:row>33</xdr:row>
      <xdr:rowOff>171450</xdr:rowOff>
    </xdr:from>
    <xdr:to>
      <xdr:col>1</xdr:col>
      <xdr:colOff>581025</xdr:colOff>
      <xdr:row>35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38175" y="62674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1</xdr:col>
      <xdr:colOff>19050</xdr:colOff>
      <xdr:row>42</xdr:row>
      <xdr:rowOff>171450</xdr:rowOff>
    </xdr:from>
    <xdr:to>
      <xdr:col>1</xdr:col>
      <xdr:colOff>571500</xdr:colOff>
      <xdr:row>44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28650" y="798195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ya</a:t>
          </a:r>
        </a:p>
      </xdr:txBody>
    </xdr:sp>
    <xdr:clientData/>
  </xdr:twoCellAnchor>
  <xdr:twoCellAnchor>
    <xdr:from>
      <xdr:col>2</xdr:col>
      <xdr:colOff>438150</xdr:colOff>
      <xdr:row>9</xdr:row>
      <xdr:rowOff>104775</xdr:rowOff>
    </xdr:from>
    <xdr:to>
      <xdr:col>3</xdr:col>
      <xdr:colOff>381000</xdr:colOff>
      <xdr:row>10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657350" y="16287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361950</xdr:colOff>
      <xdr:row>42</xdr:row>
      <xdr:rowOff>180975</xdr:rowOff>
    </xdr:from>
    <xdr:to>
      <xdr:col>3</xdr:col>
      <xdr:colOff>304800</xdr:colOff>
      <xdr:row>44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581150" y="7991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34</xdr:row>
      <xdr:rowOff>0</xdr:rowOff>
    </xdr:from>
    <xdr:to>
      <xdr:col>3</xdr:col>
      <xdr:colOff>276225</xdr:colOff>
      <xdr:row>35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1552575" y="62865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333375</xdr:colOff>
      <xdr:row>24</xdr:row>
      <xdr:rowOff>180975</xdr:rowOff>
    </xdr:from>
    <xdr:to>
      <xdr:col>3</xdr:col>
      <xdr:colOff>276225</xdr:colOff>
      <xdr:row>26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552575" y="4562475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428625</xdr:colOff>
      <xdr:row>16</xdr:row>
      <xdr:rowOff>76200</xdr:rowOff>
    </xdr:from>
    <xdr:to>
      <xdr:col>3</xdr:col>
      <xdr:colOff>371475</xdr:colOff>
      <xdr:row>17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1647825" y="2933700"/>
          <a:ext cx="5524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314325</xdr:colOff>
      <xdr:row>12</xdr:row>
      <xdr:rowOff>76200</xdr:rowOff>
    </xdr:from>
    <xdr:to>
      <xdr:col>6</xdr:col>
      <xdr:colOff>152400</xdr:colOff>
      <xdr:row>14</xdr:row>
      <xdr:rowOff>104775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533525" y="2171700"/>
          <a:ext cx="22764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pengendalian pada</a:t>
          </a:r>
          <a:r>
            <a:rPr lang="en-US" sz="1100" baseline="0"/>
            <a:t> tahap ini diperlukan untuk pengamanan</a:t>
          </a:r>
          <a:r>
            <a:rPr lang="en-US" sz="1100"/>
            <a:t> ?</a:t>
          </a:r>
        </a:p>
      </xdr:txBody>
    </xdr:sp>
    <xdr:clientData/>
  </xdr:twoCellAnchor>
  <xdr:twoCellAnchor>
    <xdr:from>
      <xdr:col>6</xdr:col>
      <xdr:colOff>209550</xdr:colOff>
      <xdr:row>8</xdr:row>
      <xdr:rowOff>95250</xdr:rowOff>
    </xdr:from>
    <xdr:to>
      <xdr:col>9</xdr:col>
      <xdr:colOff>219075</xdr:colOff>
      <xdr:row>10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3867150" y="1428750"/>
          <a:ext cx="18383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Lakukan</a:t>
          </a:r>
          <a:r>
            <a:rPr lang="en-US" sz="1100" baseline="0"/>
            <a:t> modifikasi tahapan, proses atau produk</a:t>
          </a:r>
          <a:endParaRPr lang="en-US" sz="1100"/>
        </a:p>
      </xdr:txBody>
    </xdr:sp>
    <xdr:clientData/>
  </xdr:twoCellAnchor>
  <xdr:twoCellAnchor>
    <xdr:from>
      <xdr:col>4</xdr:col>
      <xdr:colOff>457199</xdr:colOff>
      <xdr:row>16</xdr:row>
      <xdr:rowOff>76200</xdr:rowOff>
    </xdr:from>
    <xdr:to>
      <xdr:col>6</xdr:col>
      <xdr:colOff>123825</xdr:colOff>
      <xdr:row>17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895599" y="29337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152400</xdr:colOff>
      <xdr:row>16</xdr:row>
      <xdr:rowOff>76200</xdr:rowOff>
    </xdr:from>
    <xdr:to>
      <xdr:col>8</xdr:col>
      <xdr:colOff>285750</xdr:colOff>
      <xdr:row>17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4419600" y="29337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419101</xdr:colOff>
      <xdr:row>19</xdr:row>
      <xdr:rowOff>0</xdr:rowOff>
    </xdr:from>
    <xdr:to>
      <xdr:col>5</xdr:col>
      <xdr:colOff>209551</xdr:colOff>
      <xdr:row>23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419101" y="34290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/>
            <a:t>Apakah </a:t>
          </a:r>
          <a:r>
            <a:rPr lang="en-US" sz="1100" baseline="0"/>
            <a:t>tahapan ini dirancang khusus untuk menghilangkan atau mengurangi bahaya yang mungkin terjadi sampai tingkatan yang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8</xdr:col>
      <xdr:colOff>28575</xdr:colOff>
      <xdr:row>20</xdr:row>
      <xdr:rowOff>76200</xdr:rowOff>
    </xdr:from>
    <xdr:to>
      <xdr:col>8</xdr:col>
      <xdr:colOff>581025</xdr:colOff>
      <xdr:row>21</xdr:row>
      <xdr:rowOff>123825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905375" y="3695700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0</xdr:col>
      <xdr:colOff>409575</xdr:colOff>
      <xdr:row>28</xdr:row>
      <xdr:rowOff>0</xdr:rowOff>
    </xdr:from>
    <xdr:to>
      <xdr:col>5</xdr:col>
      <xdr:colOff>200025</xdr:colOff>
      <xdr:row>32</xdr:row>
      <xdr:rowOff>9525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409575" y="5143500"/>
          <a:ext cx="283845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r>
            <a:rPr lang="en-US" sz="1100" baseline="0"/>
            <a:t>Dapatkah kontaminasi dengan bahaya yang diidentifikasi terjadi melebihi tingkatan yang dapat diterima atau dapatkah ini meningkat sampai tingkatan yang tidak dapat diterima</a:t>
          </a:r>
          <a:r>
            <a:rPr lang="en-US" sz="1100"/>
            <a:t> ?</a:t>
          </a:r>
        </a:p>
      </xdr:txBody>
    </xdr:sp>
    <xdr:clientData/>
  </xdr:twoCellAnchor>
  <xdr:twoCellAnchor>
    <xdr:from>
      <xdr:col>4</xdr:col>
      <xdr:colOff>476250</xdr:colOff>
      <xdr:row>34</xdr:row>
      <xdr:rowOff>0</xdr:rowOff>
    </xdr:from>
    <xdr:to>
      <xdr:col>6</xdr:col>
      <xdr:colOff>142876</xdr:colOff>
      <xdr:row>35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2914650" y="6286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7</xdr:col>
      <xdr:colOff>123825</xdr:colOff>
      <xdr:row>34</xdr:row>
      <xdr:rowOff>0</xdr:rowOff>
    </xdr:from>
    <xdr:to>
      <xdr:col>8</xdr:col>
      <xdr:colOff>257175</xdr:colOff>
      <xdr:row>35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391025" y="6286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0</xdr:col>
      <xdr:colOff>380999</xdr:colOff>
      <xdr:row>37</xdr:row>
      <xdr:rowOff>0</xdr:rowOff>
    </xdr:from>
    <xdr:to>
      <xdr:col>5</xdr:col>
      <xdr:colOff>238124</xdr:colOff>
      <xdr:row>41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380999" y="6858000"/>
          <a:ext cx="290512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/>
            <a:t>Akankah tahapan selanjutnya dapat menghilangkan bahaya yang teridentifikasi atau mengurangi kemungkinan terjadinya bahaya sampai tingkatan yang dapat diterima ? </a:t>
          </a:r>
          <a:endParaRPr lang="en-US" sz="1100"/>
        </a:p>
      </xdr:txBody>
    </xdr:sp>
    <xdr:clientData/>
  </xdr:twoCellAnchor>
  <xdr:twoCellAnchor>
    <xdr:from>
      <xdr:col>8</xdr:col>
      <xdr:colOff>28575</xdr:colOff>
      <xdr:row>42</xdr:row>
      <xdr:rowOff>180975</xdr:rowOff>
    </xdr:from>
    <xdr:to>
      <xdr:col>8</xdr:col>
      <xdr:colOff>581025</xdr:colOff>
      <xdr:row>44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05375" y="7991475"/>
          <a:ext cx="552450" cy="2381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200" b="1"/>
            <a:t>CCP</a:t>
          </a: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2</xdr:col>
      <xdr:colOff>276226</xdr:colOff>
      <xdr:row>47</xdr:row>
      <xdr:rowOff>47625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609600" y="8572500"/>
          <a:ext cx="885826" cy="23812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 b="1"/>
            <a:t>Bukan</a:t>
          </a:r>
          <a:r>
            <a:rPr lang="en-US" sz="1100" b="1" baseline="0"/>
            <a:t> CCP</a:t>
          </a:r>
          <a:endParaRPr lang="en-US" sz="1100" b="1"/>
        </a:p>
      </xdr:txBody>
    </xdr:sp>
    <xdr:clientData/>
  </xdr:twoCellAnchor>
  <xdr:twoCellAnchor>
    <xdr:from>
      <xdr:col>5</xdr:col>
      <xdr:colOff>552450</xdr:colOff>
      <xdr:row>46</xdr:row>
      <xdr:rowOff>0</xdr:rowOff>
    </xdr:from>
    <xdr:to>
      <xdr:col>7</xdr:col>
      <xdr:colOff>76200</xdr:colOff>
      <xdr:row>47</xdr:row>
      <xdr:rowOff>47625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3600450" y="8572500"/>
          <a:ext cx="7429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b"/>
        <a:lstStyle/>
        <a:p>
          <a:pPr algn="ctr"/>
          <a:r>
            <a:rPr lang="en-US" sz="1100"/>
            <a:t>berhenti</a:t>
          </a:r>
        </a:p>
      </xdr:txBody>
    </xdr:sp>
    <xdr:clientData/>
  </xdr:twoCellAnchor>
  <xdr:twoCellAnchor>
    <xdr:from>
      <xdr:col>1</xdr:col>
      <xdr:colOff>276226</xdr:colOff>
      <xdr:row>7</xdr:row>
      <xdr:rowOff>142874</xdr:rowOff>
    </xdr:from>
    <xdr:to>
      <xdr:col>1</xdr:col>
      <xdr:colOff>285752</xdr:colOff>
      <xdr:row>9</xdr:row>
      <xdr:rowOff>95249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endCxn id="3" idx="0"/>
        </xdr:cNvCxnSpPr>
      </xdr:nvCxnSpPr>
      <xdr:spPr>
        <a:xfrm rot="16200000" flipH="1">
          <a:off x="723901" y="1447799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7</xdr:row>
      <xdr:rowOff>152400</xdr:rowOff>
    </xdr:from>
    <xdr:to>
      <xdr:col>3</xdr:col>
      <xdr:colOff>104776</xdr:colOff>
      <xdr:row>9</xdr:row>
      <xdr:rowOff>104775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rot="16200000" flipH="1">
          <a:off x="1762125" y="1457325"/>
          <a:ext cx="333375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94457</xdr:colOff>
      <xdr:row>10</xdr:row>
      <xdr:rowOff>153193</xdr:rowOff>
    </xdr:from>
    <xdr:to>
      <xdr:col>3</xdr:col>
      <xdr:colOff>96045</xdr:colOff>
      <xdr:row>12</xdr:row>
      <xdr:rowOff>57946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 rot="5400000">
          <a:off x="1781174" y="2009776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14</xdr:row>
      <xdr:rowOff>123826</xdr:rowOff>
    </xdr:from>
    <xdr:to>
      <xdr:col>3</xdr:col>
      <xdr:colOff>106363</xdr:colOff>
      <xdr:row>16</xdr:row>
      <xdr:rowOff>28579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 rot="5400000">
          <a:off x="1791492" y="2742409"/>
          <a:ext cx="285753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17</xdr:row>
      <xdr:rowOff>4763</xdr:rowOff>
    </xdr:from>
    <xdr:to>
      <xdr:col>4</xdr:col>
      <xdr:colOff>457199</xdr:colOff>
      <xdr:row>17</xdr:row>
      <xdr:rowOff>6351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14" idx="3"/>
          <a:endCxn id="17" idx="1"/>
        </xdr:cNvCxnSpPr>
      </xdr:nvCxnSpPr>
      <xdr:spPr>
        <a:xfrm>
          <a:off x="2200275" y="3052763"/>
          <a:ext cx="6953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17</xdr:row>
      <xdr:rowOff>4763</xdr:rowOff>
    </xdr:from>
    <xdr:to>
      <xdr:col>7</xdr:col>
      <xdr:colOff>152400</xdr:colOff>
      <xdr:row>17</xdr:row>
      <xdr:rowOff>6351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>
          <a:stCxn id="17" idx="3"/>
          <a:endCxn id="18" idx="1"/>
        </xdr:cNvCxnSpPr>
      </xdr:nvCxnSpPr>
      <xdr:spPr>
        <a:xfrm>
          <a:off x="3781425" y="3052763"/>
          <a:ext cx="6381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13</xdr:row>
      <xdr:rowOff>90488</xdr:rowOff>
    </xdr:from>
    <xdr:to>
      <xdr:col>7</xdr:col>
      <xdr:colOff>238125</xdr:colOff>
      <xdr:row>13</xdr:row>
      <xdr:rowOff>92076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stCxn id="15" idx="3"/>
          <a:endCxn id="4" idx="1"/>
        </xdr:cNvCxnSpPr>
      </xdr:nvCxnSpPr>
      <xdr:spPr>
        <a:xfrm>
          <a:off x="3810000" y="2376488"/>
          <a:ext cx="6953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514349</xdr:colOff>
      <xdr:row>10</xdr:row>
      <xdr:rowOff>123826</xdr:rowOff>
    </xdr:from>
    <xdr:to>
      <xdr:col>7</xdr:col>
      <xdr:colOff>519112</xdr:colOff>
      <xdr:row>12</xdr:row>
      <xdr:rowOff>161926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stCxn id="4" idx="0"/>
          <a:endCxn id="16" idx="2"/>
        </xdr:cNvCxnSpPr>
      </xdr:nvCxnSpPr>
      <xdr:spPr>
        <a:xfrm rot="5400000" flipH="1" flipV="1">
          <a:off x="4574381" y="2045494"/>
          <a:ext cx="419100" cy="476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6</xdr:row>
      <xdr:rowOff>128588</xdr:rowOff>
    </xdr:from>
    <xdr:to>
      <xdr:col>7</xdr:col>
      <xdr:colOff>519113</xdr:colOff>
      <xdr:row>8</xdr:row>
      <xdr:rowOff>95250</xdr:rowOff>
    </xdr:to>
    <xdr:cxnSp macro="">
      <xdr:nvCxnSpPr>
        <xdr:cNvPr id="44" name="Shap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16" idx="0"/>
          <a:endCxn id="2" idx="3"/>
        </xdr:cNvCxnSpPr>
      </xdr:nvCxnSpPr>
      <xdr:spPr>
        <a:xfrm rot="16200000" flipV="1">
          <a:off x="3529013" y="171450"/>
          <a:ext cx="347662" cy="2166938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285752</xdr:colOff>
      <xdr:row>10</xdr:row>
      <xdr:rowOff>142874</xdr:rowOff>
    </xdr:from>
    <xdr:to>
      <xdr:col>1</xdr:col>
      <xdr:colOff>295276</xdr:colOff>
      <xdr:row>18</xdr:row>
      <xdr:rowOff>190499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stCxn id="3" idx="2"/>
        </xdr:cNvCxnSpPr>
      </xdr:nvCxnSpPr>
      <xdr:spPr>
        <a:xfrm rot="16200000" flipH="1">
          <a:off x="114301" y="2638425"/>
          <a:ext cx="1571625" cy="952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21</xdr:row>
      <xdr:rowOff>4763</xdr:rowOff>
    </xdr:from>
    <xdr:to>
      <xdr:col>6</xdr:col>
      <xdr:colOff>266700</xdr:colOff>
      <xdr:row>21</xdr:row>
      <xdr:rowOff>6351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>
          <a:stCxn id="19" idx="3"/>
          <a:endCxn id="5" idx="1"/>
        </xdr:cNvCxnSpPr>
      </xdr:nvCxnSpPr>
      <xdr:spPr>
        <a:xfrm>
          <a:off x="3257551" y="3814763"/>
          <a:ext cx="6667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21</xdr:row>
      <xdr:rowOff>4763</xdr:rowOff>
    </xdr:from>
    <xdr:to>
      <xdr:col>8</xdr:col>
      <xdr:colOff>28575</xdr:colOff>
      <xdr:row>21</xdr:row>
      <xdr:rowOff>6351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>
          <a:stCxn id="5" idx="3"/>
          <a:endCxn id="20" idx="1"/>
        </xdr:cNvCxnSpPr>
      </xdr:nvCxnSpPr>
      <xdr:spPr>
        <a:xfrm>
          <a:off x="4476750" y="3814763"/>
          <a:ext cx="428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9525</xdr:rowOff>
    </xdr:from>
    <xdr:to>
      <xdr:col>3</xdr:col>
      <xdr:colOff>9526</xdr:colOff>
      <xdr:row>24</xdr:row>
      <xdr:rowOff>180975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>
          <a:stCxn id="19" idx="2"/>
          <a:endCxn id="13" idx="0"/>
        </xdr:cNvCxnSpPr>
      </xdr:nvCxnSpPr>
      <xdr:spPr>
        <a:xfrm rot="5400000">
          <a:off x="1652588" y="4376737"/>
          <a:ext cx="361950" cy="952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608806</xdr:colOff>
      <xdr:row>26</xdr:row>
      <xdr:rowOff>38894</xdr:rowOff>
    </xdr:from>
    <xdr:to>
      <xdr:col>3</xdr:col>
      <xdr:colOff>794</xdr:colOff>
      <xdr:row>28</xdr:row>
      <xdr:rowOff>794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>
          <a:stCxn id="13" idx="2"/>
          <a:endCxn id="21" idx="0"/>
        </xdr:cNvCxnSpPr>
      </xdr:nvCxnSpPr>
      <xdr:spPr>
        <a:xfrm rot="5400000">
          <a:off x="1657350" y="497205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608807</xdr:colOff>
      <xdr:row>32</xdr:row>
      <xdr:rowOff>10318</xdr:rowOff>
    </xdr:from>
    <xdr:to>
      <xdr:col>3</xdr:col>
      <xdr:colOff>795</xdr:colOff>
      <xdr:row>34</xdr:row>
      <xdr:rowOff>793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>
          <a:stCxn id="21" idx="2"/>
          <a:endCxn id="12" idx="0"/>
        </xdr:cNvCxnSpPr>
      </xdr:nvCxnSpPr>
      <xdr:spPr>
        <a:xfrm rot="5400000">
          <a:off x="1643063" y="6100762"/>
          <a:ext cx="3714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32</xdr:row>
      <xdr:rowOff>19844</xdr:rowOff>
    </xdr:from>
    <xdr:to>
      <xdr:col>1</xdr:col>
      <xdr:colOff>305594</xdr:colOff>
      <xdr:row>33</xdr:row>
      <xdr:rowOff>172244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>
          <a:endCxn id="6" idx="0"/>
        </xdr:cNvCxnSpPr>
      </xdr:nvCxnSpPr>
      <xdr:spPr>
        <a:xfrm rot="5400000">
          <a:off x="742950" y="6096000"/>
          <a:ext cx="34290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34</xdr:row>
      <xdr:rowOff>119063</xdr:rowOff>
    </xdr:from>
    <xdr:to>
      <xdr:col>4</xdr:col>
      <xdr:colOff>476250</xdr:colOff>
      <xdr:row>34</xdr:row>
      <xdr:rowOff>120651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CxnSpPr>
          <a:stCxn id="12" idx="3"/>
          <a:endCxn id="22" idx="1"/>
        </xdr:cNvCxnSpPr>
      </xdr:nvCxnSpPr>
      <xdr:spPr>
        <a:xfrm>
          <a:off x="2105025" y="6405563"/>
          <a:ext cx="80962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142876</xdr:colOff>
      <xdr:row>34</xdr:row>
      <xdr:rowOff>119063</xdr:rowOff>
    </xdr:from>
    <xdr:to>
      <xdr:col>7</xdr:col>
      <xdr:colOff>123825</xdr:colOff>
      <xdr:row>34</xdr:row>
      <xdr:rowOff>120651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22" idx="3"/>
          <a:endCxn id="23" idx="1"/>
        </xdr:cNvCxnSpPr>
      </xdr:nvCxnSpPr>
      <xdr:spPr>
        <a:xfrm>
          <a:off x="3800476" y="6405563"/>
          <a:ext cx="590549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304006</xdr:colOff>
      <xdr:row>35</xdr:row>
      <xdr:rowOff>29369</xdr:rowOff>
    </xdr:from>
    <xdr:to>
      <xdr:col>1</xdr:col>
      <xdr:colOff>305594</xdr:colOff>
      <xdr:row>37</xdr:row>
      <xdr:rowOff>10319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>
          <a:stCxn id="6" idx="2"/>
        </xdr:cNvCxnSpPr>
      </xdr:nvCxnSpPr>
      <xdr:spPr>
        <a:xfrm rot="5400000">
          <a:off x="733425" y="66865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285749</xdr:colOff>
      <xdr:row>41</xdr:row>
      <xdr:rowOff>57150</xdr:rowOff>
    </xdr:from>
    <xdr:to>
      <xdr:col>1</xdr:col>
      <xdr:colOff>295274</xdr:colOff>
      <xdr:row>42</xdr:row>
      <xdr:rowOff>171450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endCxn id="7" idx="0"/>
        </xdr:cNvCxnSpPr>
      </xdr:nvCxnSpPr>
      <xdr:spPr>
        <a:xfrm rot="16200000" flipH="1">
          <a:off x="747712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</xdr:row>
      <xdr:rowOff>57150</xdr:rowOff>
    </xdr:from>
    <xdr:to>
      <xdr:col>3</xdr:col>
      <xdr:colOff>9525</xdr:colOff>
      <xdr:row>42</xdr:row>
      <xdr:rowOff>171450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CxnSpPr/>
      </xdr:nvCxnSpPr>
      <xdr:spPr>
        <a:xfrm rot="16200000" flipH="1">
          <a:off x="1681163" y="7824787"/>
          <a:ext cx="3048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43</xdr:row>
      <xdr:rowOff>109538</xdr:rowOff>
    </xdr:from>
    <xdr:to>
      <xdr:col>8</xdr:col>
      <xdr:colOff>28575</xdr:colOff>
      <xdr:row>43</xdr:row>
      <xdr:rowOff>111126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stCxn id="10" idx="3"/>
          <a:endCxn id="25" idx="1"/>
        </xdr:cNvCxnSpPr>
      </xdr:nvCxnSpPr>
      <xdr:spPr>
        <a:xfrm>
          <a:off x="2133600" y="8110538"/>
          <a:ext cx="2771775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294481</xdr:colOff>
      <xdr:row>44</xdr:row>
      <xdr:rowOff>29369</xdr:rowOff>
    </xdr:from>
    <xdr:to>
      <xdr:col>1</xdr:col>
      <xdr:colOff>296069</xdr:colOff>
      <xdr:row>46</xdr:row>
      <xdr:rowOff>10319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>
          <a:stCxn id="7" idx="2"/>
        </xdr:cNvCxnSpPr>
      </xdr:nvCxnSpPr>
      <xdr:spPr>
        <a:xfrm rot="5400000">
          <a:off x="723900" y="8401050"/>
          <a:ext cx="361950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276226</xdr:colOff>
      <xdr:row>46</xdr:row>
      <xdr:rowOff>119063</xdr:rowOff>
    </xdr:from>
    <xdr:to>
      <xdr:col>5</xdr:col>
      <xdr:colOff>552450</xdr:colOff>
      <xdr:row>46</xdr:row>
      <xdr:rowOff>120651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stCxn id="26" idx="3"/>
          <a:endCxn id="27" idx="1"/>
        </xdr:cNvCxnSpPr>
      </xdr:nvCxnSpPr>
      <xdr:spPr>
        <a:xfrm>
          <a:off x="1495426" y="8691563"/>
          <a:ext cx="2105024" cy="1588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96"/>
  <sheetViews>
    <sheetView showGridLines="0" tabSelected="1" view="pageBreakPreview" topLeftCell="E1" zoomScale="106" zoomScaleNormal="90" zoomScaleSheetLayoutView="106" zoomScalePageLayoutView="80" workbookViewId="0">
      <selection activeCell="Q1" sqref="Q1"/>
    </sheetView>
  </sheetViews>
  <sheetFormatPr defaultRowHeight="15.75" x14ac:dyDescent="0.25"/>
  <cols>
    <col min="1" max="1" width="5.28515625" style="4" customWidth="1"/>
    <col min="2" max="2" width="23" style="3" customWidth="1"/>
    <col min="3" max="3" width="5" style="3" customWidth="1"/>
    <col min="4" max="4" width="23.28515625" style="3" customWidth="1"/>
    <col min="5" max="5" width="21.7109375" style="3" customWidth="1"/>
    <col min="6" max="6" width="2.85546875" style="3" customWidth="1"/>
    <col min="7" max="7" width="3.28515625" style="3" customWidth="1"/>
    <col min="8" max="8" width="7" style="3" customWidth="1"/>
    <col min="9" max="9" width="9.42578125" style="3" customWidth="1"/>
    <col min="10" max="10" width="38.85546875" style="3" customWidth="1"/>
    <col min="11" max="11" width="12" style="3" customWidth="1"/>
    <col min="12" max="15" width="4.7109375" style="3" customWidth="1"/>
    <col min="16" max="16" width="10.7109375" style="3" customWidth="1"/>
    <col min="17" max="17" width="34.42578125" style="3" customWidth="1"/>
    <col min="18" max="16384" width="9.140625" style="3"/>
  </cols>
  <sheetData>
    <row r="1" spans="1:17" x14ac:dyDescent="0.25">
      <c r="A1" s="5"/>
      <c r="B1" s="6"/>
      <c r="C1" s="72" t="s">
        <v>90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64" t="s">
        <v>28</v>
      </c>
      <c r="O1" s="11"/>
      <c r="P1" s="11"/>
      <c r="Q1" s="6" t="s">
        <v>143</v>
      </c>
    </row>
    <row r="2" spans="1:17" ht="15.75" customHeight="1" x14ac:dyDescent="0.25">
      <c r="A2" s="7"/>
      <c r="B2" s="8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13" t="s">
        <v>91</v>
      </c>
      <c r="Q2" s="8" t="s">
        <v>93</v>
      </c>
    </row>
    <row r="3" spans="1:17" ht="15.75" customHeight="1" x14ac:dyDescent="0.25">
      <c r="A3" s="7"/>
      <c r="B3" s="8"/>
      <c r="C3" s="71" t="s">
        <v>21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13" t="s">
        <v>20</v>
      </c>
      <c r="Q3" s="8" t="s">
        <v>139</v>
      </c>
    </row>
    <row r="4" spans="1:17" ht="15.75" customHeight="1" x14ac:dyDescent="0.25">
      <c r="A4" s="7"/>
      <c r="B4" s="8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13" t="s">
        <v>92</v>
      </c>
      <c r="Q4" s="8" t="s">
        <v>141</v>
      </c>
    </row>
    <row r="5" spans="1:17" ht="15.75" customHeight="1" x14ac:dyDescent="0.25">
      <c r="A5" s="9"/>
      <c r="B5" s="1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14"/>
      <c r="O5" s="12"/>
      <c r="P5" s="12"/>
      <c r="Q5" s="10"/>
    </row>
    <row r="6" spans="1:17" x14ac:dyDescent="0.25">
      <c r="B6" s="3" t="s">
        <v>142</v>
      </c>
    </row>
    <row r="7" spans="1:17" s="2" customFormat="1" x14ac:dyDescent="0.25">
      <c r="A7" s="78" t="s">
        <v>0</v>
      </c>
      <c r="B7" s="78" t="s">
        <v>1</v>
      </c>
      <c r="C7" s="80" t="s">
        <v>29</v>
      </c>
      <c r="D7" s="81"/>
      <c r="E7" s="78" t="s">
        <v>13</v>
      </c>
      <c r="F7" s="84" t="s">
        <v>14</v>
      </c>
      <c r="G7" s="85"/>
      <c r="H7" s="85"/>
      <c r="I7" s="85"/>
      <c r="J7" s="78" t="s">
        <v>3</v>
      </c>
      <c r="K7" s="67"/>
      <c r="L7" s="86" t="s">
        <v>19</v>
      </c>
      <c r="M7" s="86"/>
      <c r="N7" s="86"/>
      <c r="O7" s="86"/>
      <c r="P7" s="76" t="s">
        <v>95</v>
      </c>
      <c r="Q7" s="76" t="s">
        <v>22</v>
      </c>
    </row>
    <row r="8" spans="1:17" ht="45" x14ac:dyDescent="0.25">
      <c r="A8" s="79"/>
      <c r="B8" s="79"/>
      <c r="C8" s="82"/>
      <c r="D8" s="83"/>
      <c r="E8" s="79"/>
      <c r="F8" s="15" t="s">
        <v>23</v>
      </c>
      <c r="G8" s="63" t="s">
        <v>30</v>
      </c>
      <c r="H8" s="16" t="s">
        <v>31</v>
      </c>
      <c r="I8" s="15" t="s">
        <v>32</v>
      </c>
      <c r="J8" s="79"/>
      <c r="K8" s="68"/>
      <c r="L8" s="17" t="s">
        <v>15</v>
      </c>
      <c r="M8" s="17" t="s">
        <v>16</v>
      </c>
      <c r="N8" s="17" t="s">
        <v>17</v>
      </c>
      <c r="O8" s="17" t="s">
        <v>18</v>
      </c>
      <c r="P8" s="77"/>
      <c r="Q8" s="77"/>
    </row>
    <row r="9" spans="1:17" ht="57" customHeight="1" x14ac:dyDescent="0.25">
      <c r="A9" s="87">
        <v>1</v>
      </c>
      <c r="B9" s="73" t="s">
        <v>104</v>
      </c>
      <c r="C9" s="20" t="s">
        <v>78</v>
      </c>
      <c r="D9" s="19" t="s">
        <v>130</v>
      </c>
      <c r="E9" s="19" t="s">
        <v>108</v>
      </c>
      <c r="F9" s="20">
        <v>1</v>
      </c>
      <c r="G9" s="20">
        <v>1</v>
      </c>
      <c r="H9" s="20">
        <f>F9*G9</f>
        <v>1</v>
      </c>
      <c r="I9" s="20" t="str">
        <f>IF(H9&lt;=0,"",IF(H9&lt;=4,"LOW",IF(H9&lt;=9,"MEDIUM",IF(H9&lt;=16,"HIGH"))))</f>
        <v>LOW</v>
      </c>
      <c r="J9" s="19" t="s">
        <v>109</v>
      </c>
      <c r="K9" s="19"/>
      <c r="L9" s="65" t="s">
        <v>10</v>
      </c>
      <c r="M9" s="65" t="s">
        <v>10</v>
      </c>
      <c r="N9" s="65" t="s">
        <v>10</v>
      </c>
      <c r="O9" s="65" t="s">
        <v>10</v>
      </c>
      <c r="P9" s="58"/>
      <c r="Q9" s="21"/>
    </row>
    <row r="10" spans="1:17" ht="25.5" customHeight="1" x14ac:dyDescent="0.25">
      <c r="A10" s="88"/>
      <c r="B10" s="74"/>
      <c r="C10" s="20" t="s">
        <v>96</v>
      </c>
      <c r="D10" s="22" t="s">
        <v>10</v>
      </c>
      <c r="E10" s="18" t="s">
        <v>10</v>
      </c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18"/>
      <c r="Q10" s="23"/>
    </row>
    <row r="11" spans="1:17" ht="44.25" customHeight="1" x14ac:dyDescent="0.25">
      <c r="A11" s="89"/>
      <c r="B11" s="75"/>
      <c r="C11" s="20" t="s">
        <v>97</v>
      </c>
      <c r="D11" s="19"/>
      <c r="E11" s="19"/>
      <c r="F11" s="20"/>
      <c r="G11" s="20"/>
      <c r="H11" s="20"/>
      <c r="I11" s="20" t="str">
        <f>IF(H11&lt;=0,"",IF(H11&lt;=4,"LOW",IF(H11&lt;=9,"MEDIUM",IF(H11&lt;=16,"HIGH"))))</f>
        <v/>
      </c>
      <c r="J11" s="19"/>
      <c r="K11" s="19"/>
      <c r="L11" s="65" t="s">
        <v>10</v>
      </c>
      <c r="M11" s="65" t="s">
        <v>10</v>
      </c>
      <c r="N11" s="65" t="s">
        <v>10</v>
      </c>
      <c r="O11" s="65" t="s">
        <v>10</v>
      </c>
      <c r="P11" s="59"/>
      <c r="Q11" s="19"/>
    </row>
    <row r="12" spans="1:17" ht="56.25" customHeight="1" x14ac:dyDescent="0.25">
      <c r="A12" s="87">
        <v>2</v>
      </c>
      <c r="B12" s="73" t="s">
        <v>71</v>
      </c>
      <c r="C12" s="20" t="s">
        <v>78</v>
      </c>
      <c r="D12" s="19" t="s">
        <v>127</v>
      </c>
      <c r="E12" s="19" t="s">
        <v>116</v>
      </c>
      <c r="F12" s="20">
        <v>1</v>
      </c>
      <c r="G12" s="20">
        <v>1</v>
      </c>
      <c r="H12" s="20">
        <f>F12*G12</f>
        <v>1</v>
      </c>
      <c r="I12" s="20" t="s">
        <v>72</v>
      </c>
      <c r="J12" s="19" t="s">
        <v>110</v>
      </c>
      <c r="K12" s="19"/>
      <c r="L12" s="65"/>
      <c r="M12" s="65"/>
      <c r="N12" s="65"/>
      <c r="O12" s="65"/>
      <c r="P12" s="60"/>
      <c r="Q12" s="19"/>
    </row>
    <row r="13" spans="1:17" ht="28.5" customHeight="1" x14ac:dyDescent="0.25">
      <c r="A13" s="88"/>
      <c r="B13" s="74"/>
      <c r="C13" s="20" t="s">
        <v>96</v>
      </c>
      <c r="D13" s="19" t="s">
        <v>10</v>
      </c>
      <c r="E13" s="19"/>
      <c r="F13" s="20"/>
      <c r="G13" s="20"/>
      <c r="H13" s="20"/>
      <c r="I13" s="20"/>
      <c r="J13" s="19"/>
      <c r="K13" s="19"/>
      <c r="L13" s="65"/>
      <c r="M13" s="65"/>
      <c r="N13" s="65"/>
      <c r="O13" s="65"/>
      <c r="P13" s="60"/>
      <c r="Q13" s="19"/>
    </row>
    <row r="14" spans="1:17" ht="30" customHeight="1" x14ac:dyDescent="0.25">
      <c r="A14" s="89"/>
      <c r="B14" s="75"/>
      <c r="C14" s="20" t="s">
        <v>97</v>
      </c>
      <c r="D14" s="19"/>
      <c r="E14" s="19" t="s">
        <v>117</v>
      </c>
      <c r="F14" s="20"/>
      <c r="G14" s="20"/>
      <c r="H14" s="20"/>
      <c r="I14" s="20"/>
      <c r="J14" s="19"/>
      <c r="K14" s="19"/>
      <c r="L14" s="65"/>
      <c r="M14" s="65"/>
      <c r="N14" s="65"/>
      <c r="O14" s="65"/>
      <c r="P14" s="60"/>
      <c r="Q14" s="19"/>
    </row>
    <row r="15" spans="1:17" ht="28.5" customHeight="1" x14ac:dyDescent="0.25">
      <c r="A15" s="87">
        <v>3</v>
      </c>
      <c r="B15" s="73" t="s">
        <v>106</v>
      </c>
      <c r="C15" s="20" t="s">
        <v>78</v>
      </c>
      <c r="D15" s="19" t="s">
        <v>103</v>
      </c>
      <c r="E15" s="19" t="s">
        <v>118</v>
      </c>
      <c r="F15" s="20">
        <v>1</v>
      </c>
      <c r="G15" s="20">
        <v>3</v>
      </c>
      <c r="H15" s="20">
        <f>F15*G15</f>
        <v>3</v>
      </c>
      <c r="I15" s="20" t="str">
        <f>IF(H15&lt;=0,"",IF(H15&lt;=2,"LOW",IF(H15&lt;=4,"MEDIUM",IF(H15&lt;=9,"HIGH"))))</f>
        <v>MEDIUM</v>
      </c>
      <c r="J15" s="19" t="s">
        <v>111</v>
      </c>
      <c r="K15" s="19"/>
      <c r="L15" s="66" t="s">
        <v>24</v>
      </c>
      <c r="M15" s="66" t="s">
        <v>25</v>
      </c>
      <c r="N15" s="66" t="s">
        <v>24</v>
      </c>
      <c r="O15" s="66" t="s">
        <v>24</v>
      </c>
      <c r="P15" s="69" t="s">
        <v>89</v>
      </c>
      <c r="Q15" s="57"/>
    </row>
    <row r="16" spans="1:17" ht="20.25" customHeight="1" x14ac:dyDescent="0.25">
      <c r="A16" s="88"/>
      <c r="B16" s="74"/>
      <c r="C16" s="20" t="s">
        <v>78</v>
      </c>
      <c r="D16" s="19" t="s">
        <v>119</v>
      </c>
      <c r="E16" s="19" t="s">
        <v>118</v>
      </c>
      <c r="F16" s="20">
        <v>1</v>
      </c>
      <c r="G16" s="20">
        <v>1</v>
      </c>
      <c r="H16" s="20">
        <f>F16*G16</f>
        <v>1</v>
      </c>
      <c r="I16" s="20" t="s">
        <v>72</v>
      </c>
      <c r="J16" s="19" t="s">
        <v>111</v>
      </c>
      <c r="K16" s="19"/>
      <c r="L16" s="20" t="s">
        <v>10</v>
      </c>
      <c r="M16" s="20" t="s">
        <v>10</v>
      </c>
      <c r="N16" s="20" t="s">
        <v>10</v>
      </c>
      <c r="O16" s="20" t="s">
        <v>10</v>
      </c>
      <c r="P16" s="18"/>
      <c r="Q16" s="19"/>
    </row>
    <row r="17" spans="1:17" ht="22.5" customHeight="1" x14ac:dyDescent="0.25">
      <c r="A17" s="88"/>
      <c r="B17" s="74"/>
      <c r="C17" s="20" t="s">
        <v>78</v>
      </c>
      <c r="D17" s="19" t="s">
        <v>120</v>
      </c>
      <c r="E17" s="19" t="s">
        <v>118</v>
      </c>
      <c r="F17" s="20">
        <v>1</v>
      </c>
      <c r="G17" s="20">
        <v>1</v>
      </c>
      <c r="H17" s="20">
        <f>F17*G17</f>
        <v>1</v>
      </c>
      <c r="I17" s="20" t="s">
        <v>72</v>
      </c>
      <c r="J17" s="19" t="s">
        <v>111</v>
      </c>
      <c r="K17" s="19"/>
      <c r="L17" s="20" t="s">
        <v>10</v>
      </c>
      <c r="M17" s="20" t="s">
        <v>10</v>
      </c>
      <c r="N17" s="20" t="s">
        <v>10</v>
      </c>
      <c r="O17" s="20" t="s">
        <v>10</v>
      </c>
      <c r="P17" s="18"/>
      <c r="Q17" s="19"/>
    </row>
    <row r="18" spans="1:17" x14ac:dyDescent="0.25">
      <c r="A18" s="88"/>
      <c r="B18" s="74"/>
      <c r="C18" s="20" t="s">
        <v>96</v>
      </c>
      <c r="D18" s="19" t="s">
        <v>10</v>
      </c>
      <c r="E18" s="19"/>
      <c r="F18" s="20"/>
      <c r="G18" s="20"/>
      <c r="H18" s="20"/>
      <c r="I18" s="20"/>
      <c r="J18" s="19"/>
      <c r="K18" s="19"/>
      <c r="L18" s="20"/>
      <c r="M18" s="20"/>
      <c r="N18" s="20"/>
      <c r="O18" s="20"/>
      <c r="P18" s="18"/>
      <c r="Q18" s="19"/>
    </row>
    <row r="19" spans="1:17" x14ac:dyDescent="0.25">
      <c r="A19" s="89"/>
      <c r="B19" s="75"/>
      <c r="C19" s="20" t="s">
        <v>97</v>
      </c>
      <c r="D19" s="19" t="s">
        <v>10</v>
      </c>
      <c r="E19" s="23"/>
      <c r="F19" s="23"/>
      <c r="G19" s="23"/>
      <c r="H19" s="23"/>
      <c r="I19" s="23"/>
      <c r="J19" s="19"/>
      <c r="K19" s="19"/>
      <c r="L19" s="20"/>
      <c r="M19" s="20"/>
      <c r="N19" s="20"/>
      <c r="O19" s="20"/>
      <c r="P19" s="18"/>
      <c r="Q19" s="18"/>
    </row>
    <row r="20" spans="1:17" ht="29.25" customHeight="1" x14ac:dyDescent="0.25">
      <c r="A20" s="87" t="s">
        <v>85</v>
      </c>
      <c r="B20" s="73" t="s">
        <v>107</v>
      </c>
      <c r="C20" s="20" t="s">
        <v>78</v>
      </c>
      <c r="D20" s="19" t="s">
        <v>120</v>
      </c>
      <c r="E20" s="19" t="s">
        <v>118</v>
      </c>
      <c r="F20" s="20">
        <v>1</v>
      </c>
      <c r="G20" s="20">
        <v>1</v>
      </c>
      <c r="H20" s="20">
        <f>F20*G20</f>
        <v>1</v>
      </c>
      <c r="I20" s="20" t="str">
        <f>IF(H20&lt;=0,"",IF(H20&lt;=4,"LOW",IF(H20&lt;=9,"MEDIUM",IF(H20&lt;=16,"HIGH"))))</f>
        <v>LOW</v>
      </c>
      <c r="J20" s="19" t="s">
        <v>112</v>
      </c>
      <c r="K20" s="19"/>
      <c r="L20" s="65" t="s">
        <v>10</v>
      </c>
      <c r="M20" s="65" t="s">
        <v>10</v>
      </c>
      <c r="N20" s="65" t="s">
        <v>10</v>
      </c>
      <c r="O20" s="65" t="s">
        <v>10</v>
      </c>
      <c r="P20" s="18"/>
      <c r="Q20" s="19"/>
    </row>
    <row r="21" spans="1:17" x14ac:dyDescent="0.25">
      <c r="A21" s="88"/>
      <c r="B21" s="74"/>
      <c r="C21" s="20" t="s">
        <v>96</v>
      </c>
      <c r="D21" s="19" t="s">
        <v>10</v>
      </c>
      <c r="E21" s="18"/>
      <c r="F21" s="20"/>
      <c r="G21" s="20"/>
      <c r="H21" s="20"/>
      <c r="I21" s="20"/>
      <c r="J21" s="19"/>
      <c r="K21" s="19"/>
      <c r="L21" s="20"/>
      <c r="M21" s="20"/>
      <c r="N21" s="20"/>
      <c r="O21" s="20"/>
      <c r="P21" s="20"/>
      <c r="Q21" s="56"/>
    </row>
    <row r="22" spans="1:17" ht="55.5" customHeight="1" x14ac:dyDescent="0.25">
      <c r="A22" s="89"/>
      <c r="B22" s="75"/>
      <c r="C22" s="20" t="s">
        <v>97</v>
      </c>
      <c r="D22" s="19" t="s">
        <v>126</v>
      </c>
      <c r="E22" s="19" t="s">
        <v>121</v>
      </c>
      <c r="F22" s="20">
        <v>1</v>
      </c>
      <c r="G22" s="20">
        <v>3</v>
      </c>
      <c r="H22" s="20">
        <f>F22*G22</f>
        <v>3</v>
      </c>
      <c r="I22" s="20" t="str">
        <f>IF(H22&lt;=0,"",IF(H22&lt;=2,"LOW",IF(H22&lt;=4,"MEDIUM",IF(H22&lt;=9,"HIGH"))))</f>
        <v>MEDIUM</v>
      </c>
      <c r="J22" s="19" t="s">
        <v>128</v>
      </c>
      <c r="K22" s="19"/>
      <c r="L22" s="65" t="s">
        <v>10</v>
      </c>
      <c r="M22" s="65" t="s">
        <v>10</v>
      </c>
      <c r="N22" s="65" t="s">
        <v>10</v>
      </c>
      <c r="O22" s="65" t="s">
        <v>10</v>
      </c>
      <c r="P22" s="18"/>
      <c r="Q22" s="19"/>
    </row>
    <row r="23" spans="1:17" ht="42" customHeight="1" x14ac:dyDescent="0.25">
      <c r="A23" s="87" t="s">
        <v>105</v>
      </c>
      <c r="B23" s="73" t="s">
        <v>131</v>
      </c>
      <c r="C23" s="20" t="s">
        <v>78</v>
      </c>
      <c r="D23" s="19" t="s">
        <v>120</v>
      </c>
      <c r="E23" s="19" t="s">
        <v>118</v>
      </c>
      <c r="F23" s="20">
        <v>1</v>
      </c>
      <c r="G23" s="20">
        <v>1</v>
      </c>
      <c r="H23" s="20">
        <f>F23*G23</f>
        <v>1</v>
      </c>
      <c r="I23" s="20" t="str">
        <f>IF(H23&lt;=0,"",IF(H23&lt;=4,"LOW",IF(H23&lt;=9,"MEDIUM",IF(H23&lt;=16,"HIGH"))))</f>
        <v>LOW</v>
      </c>
      <c r="J23" s="19" t="s">
        <v>112</v>
      </c>
      <c r="K23" s="19"/>
      <c r="L23" s="65" t="s">
        <v>10</v>
      </c>
      <c r="M23" s="65" t="s">
        <v>10</v>
      </c>
      <c r="N23" s="65" t="s">
        <v>10</v>
      </c>
      <c r="O23" s="65" t="s">
        <v>10</v>
      </c>
      <c r="P23" s="58"/>
      <c r="Q23" s="19"/>
    </row>
    <row r="24" spans="1:17" ht="42" customHeight="1" x14ac:dyDescent="0.25">
      <c r="A24" s="88"/>
      <c r="B24" s="74"/>
      <c r="C24" s="20" t="s">
        <v>96</v>
      </c>
      <c r="D24" s="19" t="s">
        <v>123</v>
      </c>
      <c r="E24" s="18" t="s">
        <v>122</v>
      </c>
      <c r="F24" s="20">
        <v>1</v>
      </c>
      <c r="G24" s="20">
        <v>3</v>
      </c>
      <c r="H24" s="20">
        <f>F24*G24</f>
        <v>3</v>
      </c>
      <c r="I24" s="20" t="str">
        <f>IF(H24&lt;=0,"",IF(H24&lt;=2,"LOW",IF(H24&lt;=4,"MEDIUM",IF(H24&lt;=9,"HIGH"))))</f>
        <v>MEDIUM</v>
      </c>
      <c r="J24" s="19" t="s">
        <v>113</v>
      </c>
      <c r="K24" s="19"/>
      <c r="L24" s="65" t="s">
        <v>10</v>
      </c>
      <c r="M24" s="65" t="s">
        <v>10</v>
      </c>
      <c r="N24" s="65" t="s">
        <v>10</v>
      </c>
      <c r="O24" s="65" t="s">
        <v>10</v>
      </c>
      <c r="P24" s="18"/>
      <c r="Q24" s="19"/>
    </row>
    <row r="25" spans="1:17" ht="60.75" customHeight="1" x14ac:dyDescent="0.25">
      <c r="A25" s="89"/>
      <c r="B25" s="75"/>
      <c r="C25" s="20" t="s">
        <v>97</v>
      </c>
      <c r="D25" s="19" t="s">
        <v>126</v>
      </c>
      <c r="E25" s="19" t="s">
        <v>121</v>
      </c>
      <c r="F25" s="20">
        <v>1</v>
      </c>
      <c r="G25" s="20">
        <v>3</v>
      </c>
      <c r="H25" s="20">
        <f>F25*G25</f>
        <v>3</v>
      </c>
      <c r="I25" s="20" t="str">
        <f>IF(H25&lt;=0,"",IF(H25&lt;=2,"LOW",IF(H25&lt;=4,"MEDIUM",IF(H25&lt;=9,"HIGH"))))</f>
        <v>MEDIUM</v>
      </c>
      <c r="J25" s="19" t="s">
        <v>129</v>
      </c>
      <c r="K25" s="19"/>
      <c r="L25" s="65" t="s">
        <v>10</v>
      </c>
      <c r="M25" s="65" t="s">
        <v>10</v>
      </c>
      <c r="N25" s="65" t="s">
        <v>10</v>
      </c>
      <c r="O25" s="65" t="s">
        <v>10</v>
      </c>
      <c r="P25" s="58"/>
      <c r="Q25" s="19"/>
    </row>
    <row r="26" spans="1:17" ht="31.5" customHeight="1" x14ac:dyDescent="0.25">
      <c r="A26" s="73">
        <v>5</v>
      </c>
      <c r="B26" s="73" t="s">
        <v>86</v>
      </c>
      <c r="C26" s="24" t="s">
        <v>78</v>
      </c>
      <c r="D26" s="19" t="s">
        <v>124</v>
      </c>
      <c r="E26" s="19" t="s">
        <v>125</v>
      </c>
      <c r="F26" s="24">
        <v>1</v>
      </c>
      <c r="G26" s="24">
        <v>1</v>
      </c>
      <c r="H26" s="20">
        <f>F26*G26</f>
        <v>1</v>
      </c>
      <c r="I26" s="20" t="str">
        <f>IF(H26&lt;=0,"",IF(H26&lt;=4,"LOW",IF(H26&lt;=9,"MEDIUM",IF(H26&lt;=16,"HIGH"))))</f>
        <v>LOW</v>
      </c>
      <c r="J26" s="19" t="s">
        <v>114</v>
      </c>
      <c r="K26" s="19"/>
      <c r="L26" s="24"/>
      <c r="M26" s="24"/>
      <c r="N26" s="24"/>
      <c r="O26" s="24"/>
      <c r="P26" s="58"/>
      <c r="Q26" s="23"/>
    </row>
    <row r="27" spans="1:17" x14ac:dyDescent="0.25">
      <c r="A27" s="74"/>
      <c r="B27" s="74"/>
      <c r="C27" s="24" t="s">
        <v>96</v>
      </c>
      <c r="D27" s="22" t="s">
        <v>10</v>
      </c>
      <c r="E27" s="22" t="s">
        <v>10</v>
      </c>
      <c r="F27" s="22"/>
      <c r="G27" s="22"/>
      <c r="H27" s="22"/>
      <c r="I27" s="22"/>
      <c r="J27" s="22"/>
      <c r="K27" s="22"/>
      <c r="L27" s="24"/>
      <c r="M27" s="24"/>
      <c r="N27" s="24"/>
      <c r="O27" s="24"/>
      <c r="P27" s="18"/>
      <c r="Q27" s="23"/>
    </row>
    <row r="28" spans="1:17" ht="69.75" customHeight="1" x14ac:dyDescent="0.25">
      <c r="A28" s="75"/>
      <c r="B28" s="75"/>
      <c r="C28" s="24" t="s">
        <v>97</v>
      </c>
      <c r="D28" s="19" t="s">
        <v>126</v>
      </c>
      <c r="E28" s="19" t="s">
        <v>132</v>
      </c>
      <c r="F28" s="24">
        <v>1</v>
      </c>
      <c r="G28" s="24">
        <v>2</v>
      </c>
      <c r="H28" s="20">
        <f>F28*G28</f>
        <v>2</v>
      </c>
      <c r="I28" s="20" t="str">
        <f>IF(H28&lt;=0,"",IF(H28&lt;=2,"LOW",IF(H28&lt;=4,"MEDIUM",IF(H28&lt;=9,"HIGH"))))</f>
        <v>LOW</v>
      </c>
      <c r="J28" s="19" t="s">
        <v>133</v>
      </c>
      <c r="K28" s="19"/>
      <c r="L28" s="65" t="s">
        <v>10</v>
      </c>
      <c r="M28" s="65" t="s">
        <v>10</v>
      </c>
      <c r="N28" s="65" t="s">
        <v>10</v>
      </c>
      <c r="O28" s="65" t="s">
        <v>10</v>
      </c>
      <c r="P28" s="58"/>
      <c r="Q28" s="19"/>
    </row>
    <row r="29" spans="1:17" ht="33" customHeight="1" x14ac:dyDescent="0.25">
      <c r="A29" s="73">
        <v>6</v>
      </c>
      <c r="B29" s="73" t="s">
        <v>134</v>
      </c>
      <c r="C29" s="24" t="s">
        <v>78</v>
      </c>
      <c r="D29" s="19" t="s">
        <v>103</v>
      </c>
      <c r="E29" s="26" t="s">
        <v>79</v>
      </c>
      <c r="F29" s="24">
        <v>1</v>
      </c>
      <c r="G29" s="24">
        <v>2</v>
      </c>
      <c r="H29" s="20">
        <f>F29*G29</f>
        <v>2</v>
      </c>
      <c r="I29" s="20" t="str">
        <f>IF(H29&lt;=0,"",IF(H29&lt;=2,"LOW",IF(H29&lt;=4,"MEDIUM",IF(H29&lt;=9,"HIGH"))))</f>
        <v>LOW</v>
      </c>
      <c r="J29" s="19" t="s">
        <v>135</v>
      </c>
      <c r="K29" s="19"/>
      <c r="L29" s="65" t="s">
        <v>10</v>
      </c>
      <c r="M29" s="65" t="s">
        <v>10</v>
      </c>
      <c r="N29" s="65" t="s">
        <v>10</v>
      </c>
      <c r="O29" s="65" t="s">
        <v>10</v>
      </c>
      <c r="P29" s="58"/>
      <c r="Q29" s="23"/>
    </row>
    <row r="30" spans="1:17" x14ac:dyDescent="0.25">
      <c r="A30" s="74"/>
      <c r="B30" s="74"/>
      <c r="C30" s="24" t="s">
        <v>96</v>
      </c>
      <c r="D30" s="22" t="s">
        <v>10</v>
      </c>
      <c r="E30" s="22"/>
      <c r="F30" s="22"/>
      <c r="G30" s="22"/>
      <c r="H30" s="22"/>
      <c r="I30" s="22"/>
      <c r="J30" s="22"/>
      <c r="K30" s="22"/>
      <c r="L30" s="24"/>
      <c r="M30" s="24"/>
      <c r="N30" s="24"/>
      <c r="O30" s="24"/>
      <c r="P30" s="18"/>
      <c r="Q30" s="23"/>
    </row>
    <row r="31" spans="1:17" ht="64.5" customHeight="1" x14ac:dyDescent="0.25">
      <c r="A31" s="75"/>
      <c r="B31" s="75"/>
      <c r="C31" s="24" t="s">
        <v>97</v>
      </c>
      <c r="D31" s="19" t="s">
        <v>140</v>
      </c>
      <c r="E31" s="19" t="s">
        <v>136</v>
      </c>
      <c r="F31" s="24">
        <v>1</v>
      </c>
      <c r="G31" s="24">
        <v>3</v>
      </c>
      <c r="H31" s="20">
        <f>F31*G31</f>
        <v>3</v>
      </c>
      <c r="I31" s="20" t="str">
        <f>IF(H31&lt;=0,"",IF(H31&lt;=2,"LOW",IF(H31&lt;=4,"MEDIUM",IF(H31&lt;=9,"HIGH"))))</f>
        <v>MEDIUM</v>
      </c>
      <c r="J31" s="19" t="s">
        <v>115</v>
      </c>
      <c r="K31" s="19"/>
      <c r="L31" s="20" t="s">
        <v>24</v>
      </c>
      <c r="M31" s="20" t="s">
        <v>24</v>
      </c>
      <c r="N31" s="20"/>
      <c r="O31" s="20"/>
      <c r="P31" s="55" t="s">
        <v>2</v>
      </c>
      <c r="Q31" s="26" t="s">
        <v>101</v>
      </c>
    </row>
    <row r="32" spans="1:17" ht="41.25" customHeight="1" x14ac:dyDescent="0.25">
      <c r="A32" s="87">
        <v>7</v>
      </c>
      <c r="B32" s="73" t="s">
        <v>137</v>
      </c>
      <c r="C32" s="20" t="s">
        <v>78</v>
      </c>
      <c r="D32" s="19"/>
      <c r="E32" s="26"/>
      <c r="F32" s="24">
        <v>1</v>
      </c>
      <c r="G32" s="24">
        <v>2</v>
      </c>
      <c r="H32" s="20">
        <f>F32*G32</f>
        <v>2</v>
      </c>
      <c r="I32" s="20" t="str">
        <f>IF(H32&lt;=0,"",IF(H32&lt;=4,"LOW",IF(H32&lt;=9,"MEDIUM",IF(H32&lt;=16,"HIGH"))))</f>
        <v>LOW</v>
      </c>
      <c r="J32" s="19"/>
      <c r="K32" s="19"/>
      <c r="L32" s="20"/>
      <c r="M32" s="20"/>
      <c r="N32" s="20"/>
      <c r="O32" s="20"/>
      <c r="P32" s="70"/>
      <c r="Q32" s="18"/>
    </row>
    <row r="33" spans="1:17" x14ac:dyDescent="0.25">
      <c r="A33" s="88"/>
      <c r="B33" s="74"/>
      <c r="C33" s="20" t="s">
        <v>96</v>
      </c>
      <c r="D33" s="23" t="s">
        <v>10</v>
      </c>
      <c r="E33" s="23"/>
      <c r="F33" s="23"/>
      <c r="G33" s="23"/>
      <c r="H33" s="23"/>
      <c r="I33" s="23"/>
      <c r="J33" s="19"/>
      <c r="K33" s="19"/>
      <c r="L33" s="20"/>
      <c r="M33" s="20"/>
      <c r="N33" s="20"/>
      <c r="O33" s="20"/>
      <c r="P33" s="18"/>
      <c r="Q33" s="18"/>
    </row>
    <row r="34" spans="1:17" ht="64.5" customHeight="1" x14ac:dyDescent="0.25">
      <c r="A34" s="89"/>
      <c r="B34" s="75"/>
      <c r="C34" s="20" t="s">
        <v>97</v>
      </c>
      <c r="D34" s="19" t="s">
        <v>126</v>
      </c>
      <c r="E34" s="19" t="s">
        <v>138</v>
      </c>
      <c r="F34" s="24">
        <v>1</v>
      </c>
      <c r="G34" s="24">
        <v>3</v>
      </c>
      <c r="H34" s="20">
        <f>F34*G34</f>
        <v>3</v>
      </c>
      <c r="I34" s="20" t="str">
        <f>IF(H34&lt;=0,"",IF(H34&lt;=2,"LOW",IF(H34&lt;=4,"MEDIUM",IF(H34&lt;=9,"HIGH"))))</f>
        <v>MEDIUM</v>
      </c>
      <c r="J34" s="19" t="s">
        <v>115</v>
      </c>
      <c r="K34" s="19"/>
      <c r="L34" s="65" t="s">
        <v>10</v>
      </c>
      <c r="M34" s="65" t="s">
        <v>10</v>
      </c>
      <c r="N34" s="65" t="s">
        <v>10</v>
      </c>
      <c r="O34" s="65" t="s">
        <v>10</v>
      </c>
      <c r="P34" s="58"/>
      <c r="Q34" s="19"/>
    </row>
    <row r="35" spans="1:17" x14ac:dyDescent="0.25">
      <c r="A35" s="87">
        <v>17</v>
      </c>
      <c r="B35" s="73" t="s">
        <v>26</v>
      </c>
      <c r="C35" s="20" t="s">
        <v>78</v>
      </c>
      <c r="D35" s="19" t="s">
        <v>10</v>
      </c>
      <c r="E35" s="19"/>
      <c r="F35" s="20"/>
      <c r="G35" s="20"/>
      <c r="H35" s="20"/>
      <c r="I35" s="20"/>
      <c r="J35" s="19"/>
      <c r="K35" s="19"/>
      <c r="L35" s="24"/>
      <c r="M35" s="24"/>
      <c r="N35" s="24"/>
      <c r="O35" s="24"/>
      <c r="P35" s="24"/>
      <c r="Q35" s="23"/>
    </row>
    <row r="36" spans="1:17" x14ac:dyDescent="0.25">
      <c r="A36" s="88"/>
      <c r="B36" s="74"/>
      <c r="C36" s="20" t="s">
        <v>96</v>
      </c>
      <c r="D36" s="19" t="s">
        <v>10</v>
      </c>
      <c r="E36" s="19"/>
      <c r="F36" s="20"/>
      <c r="G36" s="20"/>
      <c r="H36" s="20"/>
      <c r="I36" s="20"/>
      <c r="J36" s="19"/>
      <c r="K36" s="19"/>
      <c r="L36" s="20"/>
      <c r="M36" s="20"/>
      <c r="N36" s="20"/>
      <c r="O36" s="20"/>
      <c r="P36" s="25"/>
      <c r="Q36" s="23"/>
    </row>
    <row r="37" spans="1:17" x14ac:dyDescent="0.25">
      <c r="A37" s="89"/>
      <c r="B37" s="75"/>
      <c r="C37" s="20" t="s">
        <v>97</v>
      </c>
      <c r="D37" s="23" t="s">
        <v>10</v>
      </c>
      <c r="E37" s="23"/>
      <c r="F37" s="23"/>
      <c r="G37" s="23"/>
      <c r="H37" s="23"/>
      <c r="I37" s="23"/>
      <c r="J37" s="19"/>
      <c r="K37" s="19"/>
      <c r="L37" s="20"/>
      <c r="M37" s="20"/>
      <c r="N37" s="20"/>
      <c r="O37" s="20"/>
      <c r="P37" s="25"/>
      <c r="Q37" s="23"/>
    </row>
    <row r="38" spans="1:17" ht="38.25" x14ac:dyDescent="0.25">
      <c r="A38" s="87">
        <v>18</v>
      </c>
      <c r="B38" s="73" t="s">
        <v>94</v>
      </c>
      <c r="C38" s="20" t="s">
        <v>78</v>
      </c>
      <c r="D38" s="19" t="s">
        <v>103</v>
      </c>
      <c r="E38" s="19" t="s">
        <v>79</v>
      </c>
      <c r="F38" s="18">
        <v>2</v>
      </c>
      <c r="G38" s="18">
        <v>2</v>
      </c>
      <c r="H38" s="20">
        <f>F38*G38</f>
        <v>4</v>
      </c>
      <c r="I38" s="20" t="str">
        <f>IF(H38&lt;=0,"",IF(H38&lt;=2,"LOW",IF(H38&lt;=4,"MEDIUM",IF(H38&lt;=9,"HIGH"))))</f>
        <v>MEDIUM</v>
      </c>
      <c r="J38" s="19" t="s">
        <v>102</v>
      </c>
      <c r="K38" s="19"/>
      <c r="L38" s="20" t="s">
        <v>24</v>
      </c>
      <c r="M38" s="20" t="s">
        <v>24</v>
      </c>
      <c r="N38" s="20"/>
      <c r="O38" s="20"/>
      <c r="P38" s="55" t="s">
        <v>2</v>
      </c>
      <c r="Q38" s="26" t="s">
        <v>101</v>
      </c>
    </row>
    <row r="39" spans="1:17" x14ac:dyDescent="0.25">
      <c r="A39" s="88"/>
      <c r="B39" s="74"/>
      <c r="C39" s="20" t="s">
        <v>96</v>
      </c>
      <c r="D39" s="23"/>
      <c r="E39" s="23"/>
      <c r="F39" s="23"/>
      <c r="G39" s="23"/>
      <c r="H39" s="23"/>
      <c r="I39" s="23"/>
      <c r="J39" s="19"/>
      <c r="K39" s="19"/>
      <c r="L39" s="20"/>
      <c r="M39" s="20"/>
      <c r="N39" s="20"/>
      <c r="O39" s="20"/>
      <c r="P39" s="25"/>
      <c r="Q39" s="23"/>
    </row>
    <row r="40" spans="1:17" x14ac:dyDescent="0.25">
      <c r="A40" s="89"/>
      <c r="B40" s="75"/>
      <c r="C40" s="20" t="s">
        <v>97</v>
      </c>
      <c r="D40" s="23"/>
      <c r="E40" s="23"/>
      <c r="F40" s="23"/>
      <c r="G40" s="23"/>
      <c r="H40" s="23"/>
      <c r="I40" s="23"/>
      <c r="J40" s="19"/>
      <c r="K40" s="19"/>
      <c r="L40" s="20"/>
      <c r="M40" s="20"/>
      <c r="N40" s="20"/>
      <c r="O40" s="20"/>
      <c r="P40" s="25"/>
      <c r="Q40" s="23"/>
    </row>
    <row r="41" spans="1:17" x14ac:dyDescent="0.25">
      <c r="A41" s="87">
        <v>19</v>
      </c>
      <c r="B41" s="73" t="s">
        <v>27</v>
      </c>
      <c r="C41" s="20" t="s">
        <v>78</v>
      </c>
      <c r="D41" s="19" t="s">
        <v>10</v>
      </c>
      <c r="E41" s="19"/>
      <c r="F41" s="23"/>
      <c r="G41" s="23"/>
      <c r="H41" s="23"/>
      <c r="I41" s="23"/>
      <c r="J41" s="19"/>
      <c r="K41" s="19"/>
      <c r="L41" s="20"/>
      <c r="M41" s="20"/>
      <c r="N41" s="20"/>
      <c r="O41" s="20"/>
      <c r="P41" s="20"/>
      <c r="Q41" s="23"/>
    </row>
    <row r="42" spans="1:17" x14ac:dyDescent="0.25">
      <c r="A42" s="88"/>
      <c r="B42" s="74"/>
      <c r="C42" s="20" t="s">
        <v>96</v>
      </c>
      <c r="D42" s="23" t="s">
        <v>10</v>
      </c>
      <c r="E42" s="23"/>
      <c r="F42" s="23"/>
      <c r="G42" s="23"/>
      <c r="H42" s="23"/>
      <c r="I42" s="23"/>
      <c r="J42" s="19"/>
      <c r="K42" s="19"/>
      <c r="L42" s="20"/>
      <c r="M42" s="20"/>
      <c r="N42" s="20"/>
      <c r="O42" s="20"/>
      <c r="P42" s="25"/>
      <c r="Q42" s="23"/>
    </row>
    <row r="43" spans="1:17" x14ac:dyDescent="0.25">
      <c r="A43" s="89"/>
      <c r="B43" s="75"/>
      <c r="C43" s="20" t="s">
        <v>97</v>
      </c>
      <c r="D43" s="23" t="s">
        <v>10</v>
      </c>
      <c r="E43" s="23"/>
      <c r="F43" s="23"/>
      <c r="G43" s="23"/>
      <c r="H43" s="23"/>
      <c r="I43" s="23"/>
      <c r="J43" s="19"/>
      <c r="K43" s="19"/>
      <c r="L43" s="20"/>
      <c r="M43" s="20"/>
      <c r="N43" s="20"/>
      <c r="O43" s="20"/>
      <c r="P43" s="25"/>
      <c r="Q43" s="23"/>
    </row>
    <row r="44" spans="1:17" ht="15.75" customHeight="1" x14ac:dyDescent="0.25">
      <c r="A44" s="87">
        <v>20</v>
      </c>
      <c r="B44" s="73" t="s">
        <v>84</v>
      </c>
      <c r="C44" s="20" t="s">
        <v>78</v>
      </c>
      <c r="D44" s="19" t="s">
        <v>10</v>
      </c>
      <c r="E44" s="23"/>
      <c r="F44" s="23"/>
      <c r="G44" s="23"/>
      <c r="H44" s="23"/>
      <c r="I44" s="23"/>
      <c r="J44" s="19"/>
      <c r="K44" s="19"/>
      <c r="L44" s="20"/>
      <c r="M44" s="20"/>
      <c r="N44" s="20"/>
      <c r="O44" s="20"/>
      <c r="P44" s="25"/>
      <c r="Q44" s="23"/>
    </row>
    <row r="45" spans="1:17" x14ac:dyDescent="0.25">
      <c r="A45" s="88"/>
      <c r="B45" s="74"/>
      <c r="C45" s="20" t="s">
        <v>96</v>
      </c>
      <c r="D45" s="23" t="s">
        <v>10</v>
      </c>
      <c r="E45" s="23"/>
      <c r="F45" s="23"/>
      <c r="G45" s="23"/>
      <c r="H45" s="23"/>
      <c r="I45" s="23"/>
      <c r="J45" s="19"/>
      <c r="K45" s="19"/>
      <c r="L45" s="20"/>
      <c r="M45" s="20"/>
      <c r="N45" s="20"/>
      <c r="O45" s="20"/>
      <c r="P45" s="25"/>
      <c r="Q45" s="23"/>
    </row>
    <row r="46" spans="1:17" x14ac:dyDescent="0.25">
      <c r="A46" s="89"/>
      <c r="B46" s="75"/>
      <c r="C46" s="20" t="s">
        <v>97</v>
      </c>
      <c r="D46" s="23" t="s">
        <v>10</v>
      </c>
      <c r="E46" s="23"/>
      <c r="F46" s="23"/>
      <c r="G46" s="23"/>
      <c r="H46" s="23"/>
      <c r="I46" s="23"/>
      <c r="J46" s="19"/>
      <c r="K46" s="19"/>
      <c r="L46" s="20"/>
      <c r="M46" s="20"/>
      <c r="N46" s="20"/>
      <c r="O46" s="20"/>
      <c r="P46" s="25"/>
      <c r="Q46" s="23"/>
    </row>
    <row r="47" spans="1:17" x14ac:dyDescent="0.25">
      <c r="A47" s="87">
        <v>21</v>
      </c>
      <c r="B47" s="73" t="s">
        <v>87</v>
      </c>
      <c r="C47" s="20" t="s">
        <v>78</v>
      </c>
      <c r="D47" s="19"/>
      <c r="E47" s="19"/>
      <c r="F47" s="20"/>
      <c r="G47" s="20"/>
      <c r="H47" s="20"/>
      <c r="I47" s="20"/>
      <c r="J47" s="19"/>
      <c r="K47" s="19"/>
      <c r="L47" s="20"/>
      <c r="M47" s="20"/>
      <c r="N47" s="20"/>
      <c r="O47" s="20"/>
      <c r="P47" s="25"/>
      <c r="Q47" s="23"/>
    </row>
    <row r="48" spans="1:17" x14ac:dyDescent="0.25">
      <c r="A48" s="88"/>
      <c r="B48" s="74"/>
      <c r="C48" s="20" t="s">
        <v>96</v>
      </c>
      <c r="D48" s="19"/>
      <c r="E48" s="19"/>
      <c r="F48" s="20"/>
      <c r="G48" s="20"/>
      <c r="H48" s="20"/>
      <c r="I48" s="20"/>
      <c r="J48" s="19"/>
      <c r="K48" s="19"/>
      <c r="L48" s="20"/>
      <c r="M48" s="20"/>
      <c r="N48" s="20"/>
      <c r="O48" s="20"/>
      <c r="P48" s="25"/>
      <c r="Q48" s="23"/>
    </row>
    <row r="49" spans="1:17" ht="51.75" x14ac:dyDescent="0.25">
      <c r="A49" s="89"/>
      <c r="B49" s="75"/>
      <c r="C49" s="20" t="s">
        <v>97</v>
      </c>
      <c r="D49" s="19" t="s">
        <v>98</v>
      </c>
      <c r="E49" s="56" t="s">
        <v>99</v>
      </c>
      <c r="F49" s="20">
        <v>1</v>
      </c>
      <c r="G49" s="20">
        <v>2</v>
      </c>
      <c r="H49" s="20">
        <f>F49*G49</f>
        <v>2</v>
      </c>
      <c r="I49" s="20" t="str">
        <f>IF(H49&lt;=0,"",IF(H49&lt;=4,"LOW",IF(H49&lt;=9,"MEDIUM",IF(H49&lt;=16,"HIGH"))))</f>
        <v>LOW</v>
      </c>
      <c r="J49" s="19" t="s">
        <v>100</v>
      </c>
      <c r="K49" s="19"/>
      <c r="L49" s="20"/>
      <c r="M49" s="20"/>
      <c r="N49" s="20"/>
      <c r="O49" s="20"/>
      <c r="P49" s="25"/>
      <c r="Q49" s="23"/>
    </row>
    <row r="50" spans="1:17" x14ac:dyDescent="0.25">
      <c r="A50" s="87">
        <v>22</v>
      </c>
      <c r="B50" s="87" t="s">
        <v>88</v>
      </c>
      <c r="C50" s="20" t="s">
        <v>78</v>
      </c>
      <c r="D50" s="19" t="s">
        <v>10</v>
      </c>
      <c r="E50" s="23"/>
      <c r="F50" s="23"/>
      <c r="G50" s="23"/>
      <c r="H50" s="23"/>
      <c r="I50" s="23"/>
      <c r="J50" s="19"/>
      <c r="K50" s="19"/>
      <c r="L50" s="20"/>
      <c r="M50" s="20"/>
      <c r="N50" s="20"/>
      <c r="O50" s="20"/>
      <c r="P50" s="25"/>
      <c r="Q50" s="23"/>
    </row>
    <row r="51" spans="1:17" x14ac:dyDescent="0.25">
      <c r="A51" s="88"/>
      <c r="B51" s="88"/>
      <c r="C51" s="20" t="s">
        <v>96</v>
      </c>
      <c r="D51" s="23" t="s">
        <v>10</v>
      </c>
      <c r="E51" s="23"/>
      <c r="F51" s="23"/>
      <c r="G51" s="23"/>
      <c r="H51" s="23"/>
      <c r="I51" s="23"/>
      <c r="J51" s="19"/>
      <c r="K51" s="19"/>
      <c r="L51" s="20"/>
      <c r="M51" s="20"/>
      <c r="N51" s="20"/>
      <c r="O51" s="20"/>
      <c r="P51" s="25"/>
      <c r="Q51" s="23"/>
    </row>
    <row r="52" spans="1:17" x14ac:dyDescent="0.25">
      <c r="A52" s="89"/>
      <c r="B52" s="89"/>
      <c r="C52" s="20" t="s">
        <v>97</v>
      </c>
      <c r="D52" s="23" t="s">
        <v>10</v>
      </c>
      <c r="E52" s="23"/>
      <c r="F52" s="23"/>
      <c r="G52" s="23"/>
      <c r="H52" s="23"/>
      <c r="I52" s="23"/>
      <c r="J52" s="19"/>
      <c r="K52" s="19"/>
      <c r="L52" s="20"/>
      <c r="M52" s="20"/>
      <c r="N52" s="20"/>
      <c r="O52" s="20"/>
      <c r="P52" s="25"/>
      <c r="Q52" s="23"/>
    </row>
    <row r="53" spans="1:17" x14ac:dyDescent="0.25">
      <c r="A53" s="3"/>
    </row>
    <row r="54" spans="1:17" x14ac:dyDescent="0.25">
      <c r="A54" s="3"/>
    </row>
    <row r="55" spans="1:17" x14ac:dyDescent="0.25">
      <c r="A55" s="3"/>
    </row>
    <row r="56" spans="1:17" x14ac:dyDescent="0.25">
      <c r="A56" s="3"/>
    </row>
    <row r="57" spans="1:17" x14ac:dyDescent="0.25">
      <c r="A57" s="3"/>
    </row>
    <row r="58" spans="1:17" x14ac:dyDescent="0.25">
      <c r="A58" s="3"/>
    </row>
    <row r="59" spans="1:17" x14ac:dyDescent="0.25">
      <c r="A59" s="3"/>
    </row>
    <row r="60" spans="1:17" x14ac:dyDescent="0.25">
      <c r="A60" s="3"/>
    </row>
    <row r="61" spans="1:17" x14ac:dyDescent="0.25">
      <c r="A61" s="3"/>
    </row>
    <row r="62" spans="1:17" x14ac:dyDescent="0.25">
      <c r="A62" s="3"/>
    </row>
    <row r="63" spans="1:17" x14ac:dyDescent="0.25">
      <c r="A63" s="3"/>
    </row>
    <row r="64" spans="1:17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</sheetData>
  <mergeCells count="39">
    <mergeCell ref="A29:A31"/>
    <mergeCell ref="B29:B31"/>
    <mergeCell ref="B32:B34"/>
    <mergeCell ref="A32:A34"/>
    <mergeCell ref="A50:A52"/>
    <mergeCell ref="B50:B52"/>
    <mergeCell ref="A47:A49"/>
    <mergeCell ref="A44:A46"/>
    <mergeCell ref="B44:B46"/>
    <mergeCell ref="A41:A43"/>
    <mergeCell ref="B38:B40"/>
    <mergeCell ref="A38:A40"/>
    <mergeCell ref="A35:A37"/>
    <mergeCell ref="B35:B37"/>
    <mergeCell ref="A20:A22"/>
    <mergeCell ref="B20:B22"/>
    <mergeCell ref="B23:B25"/>
    <mergeCell ref="A23:A25"/>
    <mergeCell ref="A26:A28"/>
    <mergeCell ref="B26:B28"/>
    <mergeCell ref="A9:A11"/>
    <mergeCell ref="B9:B11"/>
    <mergeCell ref="A12:A14"/>
    <mergeCell ref="B12:B14"/>
    <mergeCell ref="B15:B19"/>
    <mergeCell ref="A15:A19"/>
    <mergeCell ref="Q7:Q8"/>
    <mergeCell ref="A7:A8"/>
    <mergeCell ref="B7:B8"/>
    <mergeCell ref="C7:D8"/>
    <mergeCell ref="E7:E8"/>
    <mergeCell ref="F7:I7"/>
    <mergeCell ref="J7:J8"/>
    <mergeCell ref="L7:O7"/>
    <mergeCell ref="C3:M5"/>
    <mergeCell ref="C1:M2"/>
    <mergeCell ref="B47:B49"/>
    <mergeCell ref="P7:P8"/>
    <mergeCell ref="B41:B43"/>
  </mergeCells>
  <printOptions horizontalCentered="1"/>
  <pageMargins left="0.19685039370078741" right="0.19685039370078741" top="0.70866141732283472" bottom="0.23622047244094491" header="0.31496062992125984" footer="0.31496062992125984"/>
  <pageSetup paperSize="9" scale="65" orientation="landscape" horizontalDpi="300" verticalDpi="300" r:id="rId1"/>
  <rowBreaks count="1" manualBreakCount="1">
    <brk id="25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H19"/>
  <sheetViews>
    <sheetView topLeftCell="A10" zoomScale="106" zoomScaleNormal="106" workbookViewId="0">
      <selection sqref="A1:XFD1048576"/>
    </sheetView>
  </sheetViews>
  <sheetFormatPr defaultRowHeight="15" x14ac:dyDescent="0.25"/>
  <cols>
    <col min="1" max="1" width="1.5703125" customWidth="1"/>
    <col min="2" max="2" width="7.7109375" customWidth="1"/>
    <col min="3" max="3" width="17.140625" customWidth="1"/>
    <col min="4" max="4" width="31.85546875" customWidth="1"/>
    <col min="5" max="5" width="11.28515625" customWidth="1"/>
    <col min="6" max="6" width="43.28515625" customWidth="1"/>
    <col min="7" max="7" width="1.140625" customWidth="1"/>
    <col min="258" max="258" width="1.5703125" customWidth="1"/>
    <col min="259" max="259" width="7.7109375" customWidth="1"/>
    <col min="260" max="260" width="16.42578125" customWidth="1"/>
    <col min="261" max="261" width="37.28515625" customWidth="1"/>
    <col min="262" max="262" width="68" customWidth="1"/>
    <col min="263" max="263" width="1.140625" customWidth="1"/>
    <col min="514" max="514" width="1.5703125" customWidth="1"/>
    <col min="515" max="515" width="7.7109375" customWidth="1"/>
    <col min="516" max="516" width="16.42578125" customWidth="1"/>
    <col min="517" max="517" width="37.28515625" customWidth="1"/>
    <col min="518" max="518" width="68" customWidth="1"/>
    <col min="519" max="519" width="1.140625" customWidth="1"/>
    <col min="770" max="770" width="1.5703125" customWidth="1"/>
    <col min="771" max="771" width="7.7109375" customWidth="1"/>
    <col min="772" max="772" width="16.42578125" customWidth="1"/>
    <col min="773" max="773" width="37.28515625" customWidth="1"/>
    <col min="774" max="774" width="68" customWidth="1"/>
    <col min="775" max="775" width="1.140625" customWidth="1"/>
    <col min="1026" max="1026" width="1.5703125" customWidth="1"/>
    <col min="1027" max="1027" width="7.7109375" customWidth="1"/>
    <col min="1028" max="1028" width="16.42578125" customWidth="1"/>
    <col min="1029" max="1029" width="37.28515625" customWidth="1"/>
    <col min="1030" max="1030" width="68" customWidth="1"/>
    <col min="1031" max="1031" width="1.140625" customWidth="1"/>
    <col min="1282" max="1282" width="1.5703125" customWidth="1"/>
    <col min="1283" max="1283" width="7.7109375" customWidth="1"/>
    <col min="1284" max="1284" width="16.42578125" customWidth="1"/>
    <col min="1285" max="1285" width="37.28515625" customWidth="1"/>
    <col min="1286" max="1286" width="68" customWidth="1"/>
    <col min="1287" max="1287" width="1.140625" customWidth="1"/>
    <col min="1538" max="1538" width="1.5703125" customWidth="1"/>
    <col min="1539" max="1539" width="7.7109375" customWidth="1"/>
    <col min="1540" max="1540" width="16.42578125" customWidth="1"/>
    <col min="1541" max="1541" width="37.28515625" customWidth="1"/>
    <col min="1542" max="1542" width="68" customWidth="1"/>
    <col min="1543" max="1543" width="1.140625" customWidth="1"/>
    <col min="1794" max="1794" width="1.5703125" customWidth="1"/>
    <col min="1795" max="1795" width="7.7109375" customWidth="1"/>
    <col min="1796" max="1796" width="16.42578125" customWidth="1"/>
    <col min="1797" max="1797" width="37.28515625" customWidth="1"/>
    <col min="1798" max="1798" width="68" customWidth="1"/>
    <col min="1799" max="1799" width="1.140625" customWidth="1"/>
    <col min="2050" max="2050" width="1.5703125" customWidth="1"/>
    <col min="2051" max="2051" width="7.7109375" customWidth="1"/>
    <col min="2052" max="2052" width="16.42578125" customWidth="1"/>
    <col min="2053" max="2053" width="37.28515625" customWidth="1"/>
    <col min="2054" max="2054" width="68" customWidth="1"/>
    <col min="2055" max="2055" width="1.140625" customWidth="1"/>
    <col min="2306" max="2306" width="1.5703125" customWidth="1"/>
    <col min="2307" max="2307" width="7.7109375" customWidth="1"/>
    <col min="2308" max="2308" width="16.42578125" customWidth="1"/>
    <col min="2309" max="2309" width="37.28515625" customWidth="1"/>
    <col min="2310" max="2310" width="68" customWidth="1"/>
    <col min="2311" max="2311" width="1.140625" customWidth="1"/>
    <col min="2562" max="2562" width="1.5703125" customWidth="1"/>
    <col min="2563" max="2563" width="7.7109375" customWidth="1"/>
    <col min="2564" max="2564" width="16.42578125" customWidth="1"/>
    <col min="2565" max="2565" width="37.28515625" customWidth="1"/>
    <col min="2566" max="2566" width="68" customWidth="1"/>
    <col min="2567" max="2567" width="1.140625" customWidth="1"/>
    <col min="2818" max="2818" width="1.5703125" customWidth="1"/>
    <col min="2819" max="2819" width="7.7109375" customWidth="1"/>
    <col min="2820" max="2820" width="16.42578125" customWidth="1"/>
    <col min="2821" max="2821" width="37.28515625" customWidth="1"/>
    <col min="2822" max="2822" width="68" customWidth="1"/>
    <col min="2823" max="2823" width="1.140625" customWidth="1"/>
    <col min="3074" max="3074" width="1.5703125" customWidth="1"/>
    <col min="3075" max="3075" width="7.7109375" customWidth="1"/>
    <col min="3076" max="3076" width="16.42578125" customWidth="1"/>
    <col min="3077" max="3077" width="37.28515625" customWidth="1"/>
    <col min="3078" max="3078" width="68" customWidth="1"/>
    <col min="3079" max="3079" width="1.140625" customWidth="1"/>
    <col min="3330" max="3330" width="1.5703125" customWidth="1"/>
    <col min="3331" max="3331" width="7.7109375" customWidth="1"/>
    <col min="3332" max="3332" width="16.42578125" customWidth="1"/>
    <col min="3333" max="3333" width="37.28515625" customWidth="1"/>
    <col min="3334" max="3334" width="68" customWidth="1"/>
    <col min="3335" max="3335" width="1.140625" customWidth="1"/>
    <col min="3586" max="3586" width="1.5703125" customWidth="1"/>
    <col min="3587" max="3587" width="7.7109375" customWidth="1"/>
    <col min="3588" max="3588" width="16.42578125" customWidth="1"/>
    <col min="3589" max="3589" width="37.28515625" customWidth="1"/>
    <col min="3590" max="3590" width="68" customWidth="1"/>
    <col min="3591" max="3591" width="1.140625" customWidth="1"/>
    <col min="3842" max="3842" width="1.5703125" customWidth="1"/>
    <col min="3843" max="3843" width="7.7109375" customWidth="1"/>
    <col min="3844" max="3844" width="16.42578125" customWidth="1"/>
    <col min="3845" max="3845" width="37.28515625" customWidth="1"/>
    <col min="3846" max="3846" width="68" customWidth="1"/>
    <col min="3847" max="3847" width="1.140625" customWidth="1"/>
    <col min="4098" max="4098" width="1.5703125" customWidth="1"/>
    <col min="4099" max="4099" width="7.7109375" customWidth="1"/>
    <col min="4100" max="4100" width="16.42578125" customWidth="1"/>
    <col min="4101" max="4101" width="37.28515625" customWidth="1"/>
    <col min="4102" max="4102" width="68" customWidth="1"/>
    <col min="4103" max="4103" width="1.140625" customWidth="1"/>
    <col min="4354" max="4354" width="1.5703125" customWidth="1"/>
    <col min="4355" max="4355" width="7.7109375" customWidth="1"/>
    <col min="4356" max="4356" width="16.42578125" customWidth="1"/>
    <col min="4357" max="4357" width="37.28515625" customWidth="1"/>
    <col min="4358" max="4358" width="68" customWidth="1"/>
    <col min="4359" max="4359" width="1.140625" customWidth="1"/>
    <col min="4610" max="4610" width="1.5703125" customWidth="1"/>
    <col min="4611" max="4611" width="7.7109375" customWidth="1"/>
    <col min="4612" max="4612" width="16.42578125" customWidth="1"/>
    <col min="4613" max="4613" width="37.28515625" customWidth="1"/>
    <col min="4614" max="4614" width="68" customWidth="1"/>
    <col min="4615" max="4615" width="1.140625" customWidth="1"/>
    <col min="4866" max="4866" width="1.5703125" customWidth="1"/>
    <col min="4867" max="4867" width="7.7109375" customWidth="1"/>
    <col min="4868" max="4868" width="16.42578125" customWidth="1"/>
    <col min="4869" max="4869" width="37.28515625" customWidth="1"/>
    <col min="4870" max="4870" width="68" customWidth="1"/>
    <col min="4871" max="4871" width="1.140625" customWidth="1"/>
    <col min="5122" max="5122" width="1.5703125" customWidth="1"/>
    <col min="5123" max="5123" width="7.7109375" customWidth="1"/>
    <col min="5124" max="5124" width="16.42578125" customWidth="1"/>
    <col min="5125" max="5125" width="37.28515625" customWidth="1"/>
    <col min="5126" max="5126" width="68" customWidth="1"/>
    <col min="5127" max="5127" width="1.140625" customWidth="1"/>
    <col min="5378" max="5378" width="1.5703125" customWidth="1"/>
    <col min="5379" max="5379" width="7.7109375" customWidth="1"/>
    <col min="5380" max="5380" width="16.42578125" customWidth="1"/>
    <col min="5381" max="5381" width="37.28515625" customWidth="1"/>
    <col min="5382" max="5382" width="68" customWidth="1"/>
    <col min="5383" max="5383" width="1.140625" customWidth="1"/>
    <col min="5634" max="5634" width="1.5703125" customWidth="1"/>
    <col min="5635" max="5635" width="7.7109375" customWidth="1"/>
    <col min="5636" max="5636" width="16.42578125" customWidth="1"/>
    <col min="5637" max="5637" width="37.28515625" customWidth="1"/>
    <col min="5638" max="5638" width="68" customWidth="1"/>
    <col min="5639" max="5639" width="1.140625" customWidth="1"/>
    <col min="5890" max="5890" width="1.5703125" customWidth="1"/>
    <col min="5891" max="5891" width="7.7109375" customWidth="1"/>
    <col min="5892" max="5892" width="16.42578125" customWidth="1"/>
    <col min="5893" max="5893" width="37.28515625" customWidth="1"/>
    <col min="5894" max="5894" width="68" customWidth="1"/>
    <col min="5895" max="5895" width="1.140625" customWidth="1"/>
    <col min="6146" max="6146" width="1.5703125" customWidth="1"/>
    <col min="6147" max="6147" width="7.7109375" customWidth="1"/>
    <col min="6148" max="6148" width="16.42578125" customWidth="1"/>
    <col min="6149" max="6149" width="37.28515625" customWidth="1"/>
    <col min="6150" max="6150" width="68" customWidth="1"/>
    <col min="6151" max="6151" width="1.140625" customWidth="1"/>
    <col min="6402" max="6402" width="1.5703125" customWidth="1"/>
    <col min="6403" max="6403" width="7.7109375" customWidth="1"/>
    <col min="6404" max="6404" width="16.42578125" customWidth="1"/>
    <col min="6405" max="6405" width="37.28515625" customWidth="1"/>
    <col min="6406" max="6406" width="68" customWidth="1"/>
    <col min="6407" max="6407" width="1.140625" customWidth="1"/>
    <col min="6658" max="6658" width="1.5703125" customWidth="1"/>
    <col min="6659" max="6659" width="7.7109375" customWidth="1"/>
    <col min="6660" max="6660" width="16.42578125" customWidth="1"/>
    <col min="6661" max="6661" width="37.28515625" customWidth="1"/>
    <col min="6662" max="6662" width="68" customWidth="1"/>
    <col min="6663" max="6663" width="1.140625" customWidth="1"/>
    <col min="6914" max="6914" width="1.5703125" customWidth="1"/>
    <col min="6915" max="6915" width="7.7109375" customWidth="1"/>
    <col min="6916" max="6916" width="16.42578125" customWidth="1"/>
    <col min="6917" max="6917" width="37.28515625" customWidth="1"/>
    <col min="6918" max="6918" width="68" customWidth="1"/>
    <col min="6919" max="6919" width="1.140625" customWidth="1"/>
    <col min="7170" max="7170" width="1.5703125" customWidth="1"/>
    <col min="7171" max="7171" width="7.7109375" customWidth="1"/>
    <col min="7172" max="7172" width="16.42578125" customWidth="1"/>
    <col min="7173" max="7173" width="37.28515625" customWidth="1"/>
    <col min="7174" max="7174" width="68" customWidth="1"/>
    <col min="7175" max="7175" width="1.140625" customWidth="1"/>
    <col min="7426" max="7426" width="1.5703125" customWidth="1"/>
    <col min="7427" max="7427" width="7.7109375" customWidth="1"/>
    <col min="7428" max="7428" width="16.42578125" customWidth="1"/>
    <col min="7429" max="7429" width="37.28515625" customWidth="1"/>
    <col min="7430" max="7430" width="68" customWidth="1"/>
    <col min="7431" max="7431" width="1.140625" customWidth="1"/>
    <col min="7682" max="7682" width="1.5703125" customWidth="1"/>
    <col min="7683" max="7683" width="7.7109375" customWidth="1"/>
    <col min="7684" max="7684" width="16.42578125" customWidth="1"/>
    <col min="7685" max="7685" width="37.28515625" customWidth="1"/>
    <col min="7686" max="7686" width="68" customWidth="1"/>
    <col min="7687" max="7687" width="1.140625" customWidth="1"/>
    <col min="7938" max="7938" width="1.5703125" customWidth="1"/>
    <col min="7939" max="7939" width="7.7109375" customWidth="1"/>
    <col min="7940" max="7940" width="16.42578125" customWidth="1"/>
    <col min="7941" max="7941" width="37.28515625" customWidth="1"/>
    <col min="7942" max="7942" width="68" customWidth="1"/>
    <col min="7943" max="7943" width="1.140625" customWidth="1"/>
    <col min="8194" max="8194" width="1.5703125" customWidth="1"/>
    <col min="8195" max="8195" width="7.7109375" customWidth="1"/>
    <col min="8196" max="8196" width="16.42578125" customWidth="1"/>
    <col min="8197" max="8197" width="37.28515625" customWidth="1"/>
    <col min="8198" max="8198" width="68" customWidth="1"/>
    <col min="8199" max="8199" width="1.140625" customWidth="1"/>
    <col min="8450" max="8450" width="1.5703125" customWidth="1"/>
    <col min="8451" max="8451" width="7.7109375" customWidth="1"/>
    <col min="8452" max="8452" width="16.42578125" customWidth="1"/>
    <col min="8453" max="8453" width="37.28515625" customWidth="1"/>
    <col min="8454" max="8454" width="68" customWidth="1"/>
    <col min="8455" max="8455" width="1.140625" customWidth="1"/>
    <col min="8706" max="8706" width="1.5703125" customWidth="1"/>
    <col min="8707" max="8707" width="7.7109375" customWidth="1"/>
    <col min="8708" max="8708" width="16.42578125" customWidth="1"/>
    <col min="8709" max="8709" width="37.28515625" customWidth="1"/>
    <col min="8710" max="8710" width="68" customWidth="1"/>
    <col min="8711" max="8711" width="1.140625" customWidth="1"/>
    <col min="8962" max="8962" width="1.5703125" customWidth="1"/>
    <col min="8963" max="8963" width="7.7109375" customWidth="1"/>
    <col min="8964" max="8964" width="16.42578125" customWidth="1"/>
    <col min="8965" max="8965" width="37.28515625" customWidth="1"/>
    <col min="8966" max="8966" width="68" customWidth="1"/>
    <col min="8967" max="8967" width="1.140625" customWidth="1"/>
    <col min="9218" max="9218" width="1.5703125" customWidth="1"/>
    <col min="9219" max="9219" width="7.7109375" customWidth="1"/>
    <col min="9220" max="9220" width="16.42578125" customWidth="1"/>
    <col min="9221" max="9221" width="37.28515625" customWidth="1"/>
    <col min="9222" max="9222" width="68" customWidth="1"/>
    <col min="9223" max="9223" width="1.140625" customWidth="1"/>
    <col min="9474" max="9474" width="1.5703125" customWidth="1"/>
    <col min="9475" max="9475" width="7.7109375" customWidth="1"/>
    <col min="9476" max="9476" width="16.42578125" customWidth="1"/>
    <col min="9477" max="9477" width="37.28515625" customWidth="1"/>
    <col min="9478" max="9478" width="68" customWidth="1"/>
    <col min="9479" max="9479" width="1.140625" customWidth="1"/>
    <col min="9730" max="9730" width="1.5703125" customWidth="1"/>
    <col min="9731" max="9731" width="7.7109375" customWidth="1"/>
    <col min="9732" max="9732" width="16.42578125" customWidth="1"/>
    <col min="9733" max="9733" width="37.28515625" customWidth="1"/>
    <col min="9734" max="9734" width="68" customWidth="1"/>
    <col min="9735" max="9735" width="1.140625" customWidth="1"/>
    <col min="9986" max="9986" width="1.5703125" customWidth="1"/>
    <col min="9987" max="9987" width="7.7109375" customWidth="1"/>
    <col min="9988" max="9988" width="16.42578125" customWidth="1"/>
    <col min="9989" max="9989" width="37.28515625" customWidth="1"/>
    <col min="9990" max="9990" width="68" customWidth="1"/>
    <col min="9991" max="9991" width="1.140625" customWidth="1"/>
    <col min="10242" max="10242" width="1.5703125" customWidth="1"/>
    <col min="10243" max="10243" width="7.7109375" customWidth="1"/>
    <col min="10244" max="10244" width="16.42578125" customWidth="1"/>
    <col min="10245" max="10245" width="37.28515625" customWidth="1"/>
    <col min="10246" max="10246" width="68" customWidth="1"/>
    <col min="10247" max="10247" width="1.140625" customWidth="1"/>
    <col min="10498" max="10498" width="1.5703125" customWidth="1"/>
    <col min="10499" max="10499" width="7.7109375" customWidth="1"/>
    <col min="10500" max="10500" width="16.42578125" customWidth="1"/>
    <col min="10501" max="10501" width="37.28515625" customWidth="1"/>
    <col min="10502" max="10502" width="68" customWidth="1"/>
    <col min="10503" max="10503" width="1.140625" customWidth="1"/>
    <col min="10754" max="10754" width="1.5703125" customWidth="1"/>
    <col min="10755" max="10755" width="7.7109375" customWidth="1"/>
    <col min="10756" max="10756" width="16.42578125" customWidth="1"/>
    <col min="10757" max="10757" width="37.28515625" customWidth="1"/>
    <col min="10758" max="10758" width="68" customWidth="1"/>
    <col min="10759" max="10759" width="1.140625" customWidth="1"/>
    <col min="11010" max="11010" width="1.5703125" customWidth="1"/>
    <col min="11011" max="11011" width="7.7109375" customWidth="1"/>
    <col min="11012" max="11012" width="16.42578125" customWidth="1"/>
    <col min="11013" max="11013" width="37.28515625" customWidth="1"/>
    <col min="11014" max="11014" width="68" customWidth="1"/>
    <col min="11015" max="11015" width="1.140625" customWidth="1"/>
    <col min="11266" max="11266" width="1.5703125" customWidth="1"/>
    <col min="11267" max="11267" width="7.7109375" customWidth="1"/>
    <col min="11268" max="11268" width="16.42578125" customWidth="1"/>
    <col min="11269" max="11269" width="37.28515625" customWidth="1"/>
    <col min="11270" max="11270" width="68" customWidth="1"/>
    <col min="11271" max="11271" width="1.140625" customWidth="1"/>
    <col min="11522" max="11522" width="1.5703125" customWidth="1"/>
    <col min="11523" max="11523" width="7.7109375" customWidth="1"/>
    <col min="11524" max="11524" width="16.42578125" customWidth="1"/>
    <col min="11525" max="11525" width="37.28515625" customWidth="1"/>
    <col min="11526" max="11526" width="68" customWidth="1"/>
    <col min="11527" max="11527" width="1.140625" customWidth="1"/>
    <col min="11778" max="11778" width="1.5703125" customWidth="1"/>
    <col min="11779" max="11779" width="7.7109375" customWidth="1"/>
    <col min="11780" max="11780" width="16.42578125" customWidth="1"/>
    <col min="11781" max="11781" width="37.28515625" customWidth="1"/>
    <col min="11782" max="11782" width="68" customWidth="1"/>
    <col min="11783" max="11783" width="1.140625" customWidth="1"/>
    <col min="12034" max="12034" width="1.5703125" customWidth="1"/>
    <col min="12035" max="12035" width="7.7109375" customWidth="1"/>
    <col min="12036" max="12036" width="16.42578125" customWidth="1"/>
    <col min="12037" max="12037" width="37.28515625" customWidth="1"/>
    <col min="12038" max="12038" width="68" customWidth="1"/>
    <col min="12039" max="12039" width="1.140625" customWidth="1"/>
    <col min="12290" max="12290" width="1.5703125" customWidth="1"/>
    <col min="12291" max="12291" width="7.7109375" customWidth="1"/>
    <col min="12292" max="12292" width="16.42578125" customWidth="1"/>
    <col min="12293" max="12293" width="37.28515625" customWidth="1"/>
    <col min="12294" max="12294" width="68" customWidth="1"/>
    <col min="12295" max="12295" width="1.140625" customWidth="1"/>
    <col min="12546" max="12546" width="1.5703125" customWidth="1"/>
    <col min="12547" max="12547" width="7.7109375" customWidth="1"/>
    <col min="12548" max="12548" width="16.42578125" customWidth="1"/>
    <col min="12549" max="12549" width="37.28515625" customWidth="1"/>
    <col min="12550" max="12550" width="68" customWidth="1"/>
    <col min="12551" max="12551" width="1.140625" customWidth="1"/>
    <col min="12802" max="12802" width="1.5703125" customWidth="1"/>
    <col min="12803" max="12803" width="7.7109375" customWidth="1"/>
    <col min="12804" max="12804" width="16.42578125" customWidth="1"/>
    <col min="12805" max="12805" width="37.28515625" customWidth="1"/>
    <col min="12806" max="12806" width="68" customWidth="1"/>
    <col min="12807" max="12807" width="1.140625" customWidth="1"/>
    <col min="13058" max="13058" width="1.5703125" customWidth="1"/>
    <col min="13059" max="13059" width="7.7109375" customWidth="1"/>
    <col min="13060" max="13060" width="16.42578125" customWidth="1"/>
    <col min="13061" max="13061" width="37.28515625" customWidth="1"/>
    <col min="13062" max="13062" width="68" customWidth="1"/>
    <col min="13063" max="13063" width="1.140625" customWidth="1"/>
    <col min="13314" max="13314" width="1.5703125" customWidth="1"/>
    <col min="13315" max="13315" width="7.7109375" customWidth="1"/>
    <col min="13316" max="13316" width="16.42578125" customWidth="1"/>
    <col min="13317" max="13317" width="37.28515625" customWidth="1"/>
    <col min="13318" max="13318" width="68" customWidth="1"/>
    <col min="13319" max="13319" width="1.140625" customWidth="1"/>
    <col min="13570" max="13570" width="1.5703125" customWidth="1"/>
    <col min="13571" max="13571" width="7.7109375" customWidth="1"/>
    <col min="13572" max="13572" width="16.42578125" customWidth="1"/>
    <col min="13573" max="13573" width="37.28515625" customWidth="1"/>
    <col min="13574" max="13574" width="68" customWidth="1"/>
    <col min="13575" max="13575" width="1.140625" customWidth="1"/>
    <col min="13826" max="13826" width="1.5703125" customWidth="1"/>
    <col min="13827" max="13827" width="7.7109375" customWidth="1"/>
    <col min="13828" max="13828" width="16.42578125" customWidth="1"/>
    <col min="13829" max="13829" width="37.28515625" customWidth="1"/>
    <col min="13830" max="13830" width="68" customWidth="1"/>
    <col min="13831" max="13831" width="1.140625" customWidth="1"/>
    <col min="14082" max="14082" width="1.5703125" customWidth="1"/>
    <col min="14083" max="14083" width="7.7109375" customWidth="1"/>
    <col min="14084" max="14084" width="16.42578125" customWidth="1"/>
    <col min="14085" max="14085" width="37.28515625" customWidth="1"/>
    <col min="14086" max="14086" width="68" customWidth="1"/>
    <col min="14087" max="14087" width="1.140625" customWidth="1"/>
    <col min="14338" max="14338" width="1.5703125" customWidth="1"/>
    <col min="14339" max="14339" width="7.7109375" customWidth="1"/>
    <col min="14340" max="14340" width="16.42578125" customWidth="1"/>
    <col min="14341" max="14341" width="37.28515625" customWidth="1"/>
    <col min="14342" max="14342" width="68" customWidth="1"/>
    <col min="14343" max="14343" width="1.140625" customWidth="1"/>
    <col min="14594" max="14594" width="1.5703125" customWidth="1"/>
    <col min="14595" max="14595" width="7.7109375" customWidth="1"/>
    <col min="14596" max="14596" width="16.42578125" customWidth="1"/>
    <col min="14597" max="14597" width="37.28515625" customWidth="1"/>
    <col min="14598" max="14598" width="68" customWidth="1"/>
    <col min="14599" max="14599" width="1.140625" customWidth="1"/>
    <col min="14850" max="14850" width="1.5703125" customWidth="1"/>
    <col min="14851" max="14851" width="7.7109375" customWidth="1"/>
    <col min="14852" max="14852" width="16.42578125" customWidth="1"/>
    <col min="14853" max="14853" width="37.28515625" customWidth="1"/>
    <col min="14854" max="14854" width="68" customWidth="1"/>
    <col min="14855" max="14855" width="1.140625" customWidth="1"/>
    <col min="15106" max="15106" width="1.5703125" customWidth="1"/>
    <col min="15107" max="15107" width="7.7109375" customWidth="1"/>
    <col min="15108" max="15108" width="16.42578125" customWidth="1"/>
    <col min="15109" max="15109" width="37.28515625" customWidth="1"/>
    <col min="15110" max="15110" width="68" customWidth="1"/>
    <col min="15111" max="15111" width="1.140625" customWidth="1"/>
    <col min="15362" max="15362" width="1.5703125" customWidth="1"/>
    <col min="15363" max="15363" width="7.7109375" customWidth="1"/>
    <col min="15364" max="15364" width="16.42578125" customWidth="1"/>
    <col min="15365" max="15365" width="37.28515625" customWidth="1"/>
    <col min="15366" max="15366" width="68" customWidth="1"/>
    <col min="15367" max="15367" width="1.140625" customWidth="1"/>
    <col min="15618" max="15618" width="1.5703125" customWidth="1"/>
    <col min="15619" max="15619" width="7.7109375" customWidth="1"/>
    <col min="15620" max="15620" width="16.42578125" customWidth="1"/>
    <col min="15621" max="15621" width="37.28515625" customWidth="1"/>
    <col min="15622" max="15622" width="68" customWidth="1"/>
    <col min="15623" max="15623" width="1.140625" customWidth="1"/>
    <col min="15874" max="15874" width="1.5703125" customWidth="1"/>
    <col min="15875" max="15875" width="7.7109375" customWidth="1"/>
    <col min="15876" max="15876" width="16.42578125" customWidth="1"/>
    <col min="15877" max="15877" width="37.28515625" customWidth="1"/>
    <col min="15878" max="15878" width="68" customWidth="1"/>
    <col min="15879" max="15879" width="1.140625" customWidth="1"/>
    <col min="16130" max="16130" width="1.5703125" customWidth="1"/>
    <col min="16131" max="16131" width="7.7109375" customWidth="1"/>
    <col min="16132" max="16132" width="16.42578125" customWidth="1"/>
    <col min="16133" max="16133" width="37.28515625" customWidth="1"/>
    <col min="16134" max="16134" width="68" customWidth="1"/>
    <col min="16135" max="16135" width="1.140625" customWidth="1"/>
  </cols>
  <sheetData>
    <row r="1" spans="2:7" x14ac:dyDescent="0.25">
      <c r="B1" s="102" t="s">
        <v>67</v>
      </c>
      <c r="C1" s="102"/>
      <c r="D1" s="102"/>
      <c r="E1" s="102"/>
      <c r="F1" s="102"/>
    </row>
    <row r="2" spans="2:7" ht="18.75" x14ac:dyDescent="0.3">
      <c r="B2" s="103" t="s">
        <v>14</v>
      </c>
      <c r="C2" s="103"/>
      <c r="D2" s="103"/>
      <c r="E2" s="103"/>
      <c r="F2" s="103"/>
    </row>
    <row r="4" spans="2:7" ht="16.5" thickBot="1" x14ac:dyDescent="0.3">
      <c r="C4" s="110" t="s">
        <v>33</v>
      </c>
      <c r="D4" s="110"/>
      <c r="E4" s="27"/>
    </row>
    <row r="5" spans="2:7" ht="30.75" thickBot="1" x14ac:dyDescent="0.3">
      <c r="B5" s="28" t="s">
        <v>34</v>
      </c>
      <c r="C5" s="28" t="s">
        <v>35</v>
      </c>
      <c r="D5" s="29" t="s">
        <v>36</v>
      </c>
      <c r="E5" s="30"/>
      <c r="F5" s="31"/>
    </row>
    <row r="6" spans="2:7" ht="33.75" customHeight="1" thickBot="1" x14ac:dyDescent="0.3">
      <c r="B6" s="32">
        <v>3</v>
      </c>
      <c r="C6" s="61" t="s">
        <v>37</v>
      </c>
      <c r="D6" s="36" t="s">
        <v>73</v>
      </c>
      <c r="E6" s="34"/>
      <c r="F6" s="35"/>
      <c r="G6" s="35"/>
    </row>
    <row r="7" spans="2:7" ht="33" customHeight="1" thickBot="1" x14ac:dyDescent="0.3">
      <c r="B7" s="32">
        <v>2</v>
      </c>
      <c r="C7" s="37" t="s">
        <v>38</v>
      </c>
      <c r="D7" s="36" t="s">
        <v>39</v>
      </c>
      <c r="E7" s="34"/>
      <c r="F7" s="35"/>
      <c r="G7" s="35"/>
    </row>
    <row r="8" spans="2:7" ht="33.75" customHeight="1" thickBot="1" x14ac:dyDescent="0.3">
      <c r="B8" s="32">
        <v>1</v>
      </c>
      <c r="C8" s="38" t="s">
        <v>40</v>
      </c>
      <c r="D8" s="33" t="s">
        <v>41</v>
      </c>
      <c r="E8" s="34"/>
      <c r="F8" s="35"/>
      <c r="G8" s="35"/>
    </row>
    <row r="9" spans="2:7" ht="60" customHeight="1" thickBot="1" x14ac:dyDescent="0.3">
      <c r="C9" s="110" t="s">
        <v>42</v>
      </c>
      <c r="D9" s="111"/>
      <c r="E9" s="111"/>
      <c r="F9" s="111"/>
    </row>
    <row r="10" spans="2:7" ht="15.75" thickBot="1" x14ac:dyDescent="0.3">
      <c r="B10" s="28" t="s">
        <v>34</v>
      </c>
      <c r="C10" s="39" t="s">
        <v>43</v>
      </c>
      <c r="D10" s="112" t="s">
        <v>44</v>
      </c>
      <c r="E10" s="113"/>
      <c r="F10" s="114"/>
    </row>
    <row r="11" spans="2:7" ht="20.100000000000001" customHeight="1" thickBot="1" x14ac:dyDescent="0.3">
      <c r="B11" s="32">
        <v>3</v>
      </c>
      <c r="C11" s="62" t="s">
        <v>45</v>
      </c>
      <c r="D11" s="104" t="s">
        <v>46</v>
      </c>
      <c r="E11" s="105"/>
      <c r="F11" s="106"/>
    </row>
    <row r="12" spans="2:7" ht="20.100000000000001" customHeight="1" thickBot="1" x14ac:dyDescent="0.3">
      <c r="B12" s="32">
        <v>2</v>
      </c>
      <c r="C12" s="40" t="s">
        <v>47</v>
      </c>
      <c r="D12" s="104" t="s">
        <v>48</v>
      </c>
      <c r="E12" s="105"/>
      <c r="F12" s="106"/>
    </row>
    <row r="13" spans="2:7" ht="20.100000000000001" customHeight="1" thickBot="1" x14ac:dyDescent="0.3">
      <c r="B13" s="32">
        <v>1</v>
      </c>
      <c r="C13" s="41" t="s">
        <v>49</v>
      </c>
      <c r="D13" s="104" t="s">
        <v>50</v>
      </c>
      <c r="E13" s="105"/>
      <c r="F13" s="106"/>
    </row>
    <row r="15" spans="2:7" ht="15.75" thickBot="1" x14ac:dyDescent="0.3">
      <c r="B15" s="107" t="s">
        <v>51</v>
      </c>
      <c r="C15" s="107"/>
      <c r="D15" s="107"/>
      <c r="E15" s="107"/>
      <c r="F15" s="107"/>
    </row>
    <row r="16" spans="2:7" ht="15.75" thickBot="1" x14ac:dyDescent="0.3">
      <c r="B16" s="108" t="s">
        <v>52</v>
      </c>
      <c r="C16" s="109"/>
      <c r="D16" s="42" t="s">
        <v>53</v>
      </c>
      <c r="E16" s="43"/>
      <c r="F16" s="44" t="s">
        <v>54</v>
      </c>
    </row>
    <row r="17" spans="2:8" ht="18" customHeight="1" x14ac:dyDescent="0.25">
      <c r="B17" s="94" t="s">
        <v>55</v>
      </c>
      <c r="C17" s="95"/>
      <c r="D17" s="45" t="s">
        <v>76</v>
      </c>
      <c r="E17" s="98" t="s">
        <v>83</v>
      </c>
      <c r="F17" s="99"/>
      <c r="G17" s="46"/>
      <c r="H17" s="46"/>
    </row>
    <row r="18" spans="2:8" ht="30" customHeight="1" x14ac:dyDescent="0.25">
      <c r="B18" s="96" t="s">
        <v>77</v>
      </c>
      <c r="C18" s="97"/>
      <c r="D18" s="45" t="s">
        <v>75</v>
      </c>
      <c r="E18" s="100"/>
      <c r="F18" s="101"/>
      <c r="G18" s="47"/>
      <c r="H18" s="47"/>
    </row>
    <row r="19" spans="2:8" ht="30" customHeight="1" thickBot="1" x14ac:dyDescent="0.3">
      <c r="B19" s="90" t="s">
        <v>56</v>
      </c>
      <c r="C19" s="91"/>
      <c r="D19" s="48" t="s">
        <v>74</v>
      </c>
      <c r="E19" s="92" t="s">
        <v>57</v>
      </c>
      <c r="F19" s="93"/>
      <c r="G19" s="49"/>
      <c r="H19" s="49"/>
    </row>
  </sheetData>
  <mergeCells count="15">
    <mergeCell ref="B1:F1"/>
    <mergeCell ref="B2:F2"/>
    <mergeCell ref="D13:F13"/>
    <mergeCell ref="B15:F15"/>
    <mergeCell ref="B16:C16"/>
    <mergeCell ref="C4:D4"/>
    <mergeCell ref="C9:F9"/>
    <mergeCell ref="D10:F10"/>
    <mergeCell ref="D11:F11"/>
    <mergeCell ref="D12:F12"/>
    <mergeCell ref="B19:C19"/>
    <mergeCell ref="E19:F19"/>
    <mergeCell ref="B17:C17"/>
    <mergeCell ref="B18:C18"/>
    <mergeCell ref="E17:F18"/>
  </mergeCells>
  <pageMargins left="1.2" right="0.95" top="0.75" bottom="0.75" header="0.3" footer="0.3"/>
  <pageSetup scale="12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F11"/>
  <sheetViews>
    <sheetView workbookViewId="0">
      <selection activeCell="D7" sqref="D7"/>
    </sheetView>
  </sheetViews>
  <sheetFormatPr defaultRowHeight="15" x14ac:dyDescent="0.25"/>
  <cols>
    <col min="1" max="1" width="2.7109375" customWidth="1"/>
    <col min="2" max="2" width="6.5703125" customWidth="1"/>
    <col min="3" max="3" width="6.7109375" customWidth="1"/>
    <col min="4" max="6" width="15.7109375" customWidth="1"/>
    <col min="7" max="7" width="2.7109375" customWidth="1"/>
    <col min="253" max="253" width="2.28515625" customWidth="1"/>
    <col min="256" max="262" width="15" customWidth="1"/>
    <col min="509" max="509" width="2.28515625" customWidth="1"/>
    <col min="512" max="518" width="15" customWidth="1"/>
    <col min="765" max="765" width="2.28515625" customWidth="1"/>
    <col min="768" max="774" width="15" customWidth="1"/>
    <col min="1021" max="1021" width="2.28515625" customWidth="1"/>
    <col min="1024" max="1030" width="15" customWidth="1"/>
    <col min="1277" max="1277" width="2.28515625" customWidth="1"/>
    <col min="1280" max="1286" width="15" customWidth="1"/>
    <col min="1533" max="1533" width="2.28515625" customWidth="1"/>
    <col min="1536" max="1542" width="15" customWidth="1"/>
    <col min="1789" max="1789" width="2.28515625" customWidth="1"/>
    <col min="1792" max="1798" width="15" customWidth="1"/>
    <col min="2045" max="2045" width="2.28515625" customWidth="1"/>
    <col min="2048" max="2054" width="15" customWidth="1"/>
    <col min="2301" max="2301" width="2.28515625" customWidth="1"/>
    <col min="2304" max="2310" width="15" customWidth="1"/>
    <col min="2557" max="2557" width="2.28515625" customWidth="1"/>
    <col min="2560" max="2566" width="15" customWidth="1"/>
    <col min="2813" max="2813" width="2.28515625" customWidth="1"/>
    <col min="2816" max="2822" width="15" customWidth="1"/>
    <col min="3069" max="3069" width="2.28515625" customWidth="1"/>
    <col min="3072" max="3078" width="15" customWidth="1"/>
    <col min="3325" max="3325" width="2.28515625" customWidth="1"/>
    <col min="3328" max="3334" width="15" customWidth="1"/>
    <col min="3581" max="3581" width="2.28515625" customWidth="1"/>
    <col min="3584" max="3590" width="15" customWidth="1"/>
    <col min="3837" max="3837" width="2.28515625" customWidth="1"/>
    <col min="3840" max="3846" width="15" customWidth="1"/>
    <col min="4093" max="4093" width="2.28515625" customWidth="1"/>
    <col min="4096" max="4102" width="15" customWidth="1"/>
    <col min="4349" max="4349" width="2.28515625" customWidth="1"/>
    <col min="4352" max="4358" width="15" customWidth="1"/>
    <col min="4605" max="4605" width="2.28515625" customWidth="1"/>
    <col min="4608" max="4614" width="15" customWidth="1"/>
    <col min="4861" max="4861" width="2.28515625" customWidth="1"/>
    <col min="4864" max="4870" width="15" customWidth="1"/>
    <col min="5117" max="5117" width="2.28515625" customWidth="1"/>
    <col min="5120" max="5126" width="15" customWidth="1"/>
    <col min="5373" max="5373" width="2.28515625" customWidth="1"/>
    <col min="5376" max="5382" width="15" customWidth="1"/>
    <col min="5629" max="5629" width="2.28515625" customWidth="1"/>
    <col min="5632" max="5638" width="15" customWidth="1"/>
    <col min="5885" max="5885" width="2.28515625" customWidth="1"/>
    <col min="5888" max="5894" width="15" customWidth="1"/>
    <col min="6141" max="6141" width="2.28515625" customWidth="1"/>
    <col min="6144" max="6150" width="15" customWidth="1"/>
    <col min="6397" max="6397" width="2.28515625" customWidth="1"/>
    <col min="6400" max="6406" width="15" customWidth="1"/>
    <col min="6653" max="6653" width="2.28515625" customWidth="1"/>
    <col min="6656" max="6662" width="15" customWidth="1"/>
    <col min="6909" max="6909" width="2.28515625" customWidth="1"/>
    <col min="6912" max="6918" width="15" customWidth="1"/>
    <col min="7165" max="7165" width="2.28515625" customWidth="1"/>
    <col min="7168" max="7174" width="15" customWidth="1"/>
    <col min="7421" max="7421" width="2.28515625" customWidth="1"/>
    <col min="7424" max="7430" width="15" customWidth="1"/>
    <col min="7677" max="7677" width="2.28515625" customWidth="1"/>
    <col min="7680" max="7686" width="15" customWidth="1"/>
    <col min="7933" max="7933" width="2.28515625" customWidth="1"/>
    <col min="7936" max="7942" width="15" customWidth="1"/>
    <col min="8189" max="8189" width="2.28515625" customWidth="1"/>
    <col min="8192" max="8198" width="15" customWidth="1"/>
    <col min="8445" max="8445" width="2.28515625" customWidth="1"/>
    <col min="8448" max="8454" width="15" customWidth="1"/>
    <col min="8701" max="8701" width="2.28515625" customWidth="1"/>
    <col min="8704" max="8710" width="15" customWidth="1"/>
    <col min="8957" max="8957" width="2.28515625" customWidth="1"/>
    <col min="8960" max="8966" width="15" customWidth="1"/>
    <col min="9213" max="9213" width="2.28515625" customWidth="1"/>
    <col min="9216" max="9222" width="15" customWidth="1"/>
    <col min="9469" max="9469" width="2.28515625" customWidth="1"/>
    <col min="9472" max="9478" width="15" customWidth="1"/>
    <col min="9725" max="9725" width="2.28515625" customWidth="1"/>
    <col min="9728" max="9734" width="15" customWidth="1"/>
    <col min="9981" max="9981" width="2.28515625" customWidth="1"/>
    <col min="9984" max="9990" width="15" customWidth="1"/>
    <col min="10237" max="10237" width="2.28515625" customWidth="1"/>
    <col min="10240" max="10246" width="15" customWidth="1"/>
    <col min="10493" max="10493" width="2.28515625" customWidth="1"/>
    <col min="10496" max="10502" width="15" customWidth="1"/>
    <col min="10749" max="10749" width="2.28515625" customWidth="1"/>
    <col min="10752" max="10758" width="15" customWidth="1"/>
    <col min="11005" max="11005" width="2.28515625" customWidth="1"/>
    <col min="11008" max="11014" width="15" customWidth="1"/>
    <col min="11261" max="11261" width="2.28515625" customWidth="1"/>
    <col min="11264" max="11270" width="15" customWidth="1"/>
    <col min="11517" max="11517" width="2.28515625" customWidth="1"/>
    <col min="11520" max="11526" width="15" customWidth="1"/>
    <col min="11773" max="11773" width="2.28515625" customWidth="1"/>
    <col min="11776" max="11782" width="15" customWidth="1"/>
    <col min="12029" max="12029" width="2.28515625" customWidth="1"/>
    <col min="12032" max="12038" width="15" customWidth="1"/>
    <col min="12285" max="12285" width="2.28515625" customWidth="1"/>
    <col min="12288" max="12294" width="15" customWidth="1"/>
    <col min="12541" max="12541" width="2.28515625" customWidth="1"/>
    <col min="12544" max="12550" width="15" customWidth="1"/>
    <col min="12797" max="12797" width="2.28515625" customWidth="1"/>
    <col min="12800" max="12806" width="15" customWidth="1"/>
    <col min="13053" max="13053" width="2.28515625" customWidth="1"/>
    <col min="13056" max="13062" width="15" customWidth="1"/>
    <col min="13309" max="13309" width="2.28515625" customWidth="1"/>
    <col min="13312" max="13318" width="15" customWidth="1"/>
    <col min="13565" max="13565" width="2.28515625" customWidth="1"/>
    <col min="13568" max="13574" width="15" customWidth="1"/>
    <col min="13821" max="13821" width="2.28515625" customWidth="1"/>
    <col min="13824" max="13830" width="15" customWidth="1"/>
    <col min="14077" max="14077" width="2.28515625" customWidth="1"/>
    <col min="14080" max="14086" width="15" customWidth="1"/>
    <col min="14333" max="14333" width="2.28515625" customWidth="1"/>
    <col min="14336" max="14342" width="15" customWidth="1"/>
    <col min="14589" max="14589" width="2.28515625" customWidth="1"/>
    <col min="14592" max="14598" width="15" customWidth="1"/>
    <col min="14845" max="14845" width="2.28515625" customWidth="1"/>
    <col min="14848" max="14854" width="15" customWidth="1"/>
    <col min="15101" max="15101" width="2.28515625" customWidth="1"/>
    <col min="15104" max="15110" width="15" customWidth="1"/>
    <col min="15357" max="15357" width="2.28515625" customWidth="1"/>
    <col min="15360" max="15366" width="15" customWidth="1"/>
    <col min="15613" max="15613" width="2.28515625" customWidth="1"/>
    <col min="15616" max="15622" width="15" customWidth="1"/>
    <col min="15869" max="15869" width="2.28515625" customWidth="1"/>
    <col min="15872" max="15878" width="15" customWidth="1"/>
    <col min="16125" max="16125" width="2.28515625" customWidth="1"/>
    <col min="16128" max="16134" width="15" customWidth="1"/>
  </cols>
  <sheetData>
    <row r="1" spans="2:6" x14ac:dyDescent="0.25">
      <c r="B1" s="115" t="s">
        <v>12</v>
      </c>
      <c r="C1" s="115"/>
      <c r="D1" s="115"/>
      <c r="E1" s="115"/>
      <c r="F1" s="115"/>
    </row>
    <row r="2" spans="2:6" ht="18.75" x14ac:dyDescent="0.3">
      <c r="B2" s="116" t="s">
        <v>68</v>
      </c>
      <c r="C2" s="116"/>
      <c r="D2" s="116"/>
      <c r="E2" s="116"/>
      <c r="F2" s="116"/>
    </row>
    <row r="4" spans="2:6" ht="18" customHeight="1" x14ac:dyDescent="0.25">
      <c r="B4" s="118" t="s">
        <v>58</v>
      </c>
      <c r="C4" s="119"/>
      <c r="D4" s="122" t="s">
        <v>59</v>
      </c>
      <c r="E4" s="123"/>
      <c r="F4" s="123"/>
    </row>
    <row r="5" spans="2:6" ht="18" customHeight="1" x14ac:dyDescent="0.25">
      <c r="B5" s="120"/>
      <c r="C5" s="121"/>
      <c r="D5" s="50">
        <v>1</v>
      </c>
      <c r="E5" s="51">
        <v>2</v>
      </c>
      <c r="F5" s="51">
        <v>3</v>
      </c>
    </row>
    <row r="6" spans="2:6" ht="40.5" customHeight="1" x14ac:dyDescent="0.25">
      <c r="B6" s="124" t="s">
        <v>60</v>
      </c>
      <c r="C6" s="52">
        <v>3</v>
      </c>
      <c r="D6" s="53" t="s">
        <v>80</v>
      </c>
      <c r="E6" s="53" t="s">
        <v>81</v>
      </c>
      <c r="F6" s="53" t="s">
        <v>82</v>
      </c>
    </row>
    <row r="7" spans="2:6" ht="40.5" customHeight="1" x14ac:dyDescent="0.25">
      <c r="B7" s="125"/>
      <c r="C7" s="52">
        <v>2</v>
      </c>
      <c r="D7" s="54" t="s">
        <v>61</v>
      </c>
      <c r="E7" s="53" t="s">
        <v>63</v>
      </c>
      <c r="F7" s="53" t="s">
        <v>81</v>
      </c>
    </row>
    <row r="8" spans="2:6" ht="44.25" customHeight="1" x14ac:dyDescent="0.25">
      <c r="B8" s="125"/>
      <c r="C8" s="52">
        <v>1</v>
      </c>
      <c r="D8" s="54" t="s">
        <v>62</v>
      </c>
      <c r="E8" s="54" t="s">
        <v>61</v>
      </c>
      <c r="F8" s="53" t="s">
        <v>80</v>
      </c>
    </row>
    <row r="10" spans="2:6" ht="33" customHeight="1" x14ac:dyDescent="0.25">
      <c r="B10" s="1" t="s">
        <v>64</v>
      </c>
      <c r="C10" s="117" t="s">
        <v>65</v>
      </c>
      <c r="D10" s="117"/>
      <c r="E10" s="117" t="s">
        <v>69</v>
      </c>
      <c r="F10" s="117"/>
    </row>
    <row r="11" spans="2:6" ht="18" customHeight="1" x14ac:dyDescent="0.25">
      <c r="C11" t="s">
        <v>66</v>
      </c>
      <c r="E11" t="s">
        <v>70</v>
      </c>
    </row>
  </sheetData>
  <mergeCells count="7">
    <mergeCell ref="B1:F1"/>
    <mergeCell ref="B2:F2"/>
    <mergeCell ref="C10:D10"/>
    <mergeCell ref="E10:F10"/>
    <mergeCell ref="B4:C5"/>
    <mergeCell ref="D4:F4"/>
    <mergeCell ref="B6:B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8"/>
  <sheetViews>
    <sheetView topLeftCell="A22" zoomScale="118" zoomScaleNormal="118" workbookViewId="0">
      <selection activeCell="H29" sqref="H29"/>
    </sheetView>
  </sheetViews>
  <sheetFormatPr defaultRowHeight="15" x14ac:dyDescent="0.25"/>
  <cols>
    <col min="11" max="11" width="2.7109375" customWidth="1"/>
  </cols>
  <sheetData>
    <row r="2" spans="1:10" ht="15.75" x14ac:dyDescent="0.25">
      <c r="A2" s="126" t="s">
        <v>11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0" ht="21" customHeight="1" x14ac:dyDescent="0.25">
      <c r="A3" s="129" t="s">
        <v>9</v>
      </c>
      <c r="B3" s="130"/>
      <c r="C3" s="130"/>
      <c r="D3" s="130"/>
      <c r="E3" s="130"/>
      <c r="F3" s="130"/>
      <c r="G3" s="130"/>
      <c r="H3" s="130"/>
      <c r="I3" s="130"/>
      <c r="J3" s="131"/>
    </row>
    <row r="4" spans="1:10" ht="19.5" customHeight="1" x14ac:dyDescent="0.25">
      <c r="A4" s="132" t="s">
        <v>4</v>
      </c>
      <c r="B4" s="133"/>
      <c r="C4" s="133"/>
      <c r="D4" s="133"/>
      <c r="E4" s="133"/>
      <c r="F4" s="133"/>
      <c r="G4" s="133"/>
      <c r="H4" s="133"/>
      <c r="I4" s="133"/>
      <c r="J4" s="134"/>
    </row>
    <row r="7" spans="1:10" x14ac:dyDescent="0.25">
      <c r="A7" t="s">
        <v>5</v>
      </c>
    </row>
    <row r="20" spans="1:1" x14ac:dyDescent="0.25">
      <c r="A20" t="s">
        <v>6</v>
      </c>
    </row>
    <row r="29" spans="1:1" x14ac:dyDescent="0.25">
      <c r="A29" t="s">
        <v>7</v>
      </c>
    </row>
    <row r="38" spans="1:1" x14ac:dyDescent="0.25">
      <c r="A38" t="s">
        <v>8</v>
      </c>
    </row>
  </sheetData>
  <mergeCells count="3">
    <mergeCell ref="A2:J2"/>
    <mergeCell ref="A3:J3"/>
    <mergeCell ref="A4:J4"/>
  </mergeCells>
  <pageMargins left="0.7" right="0.7" top="0.75" bottom="0.5" header="0.3" footer="0.3"/>
  <pageSetup paperSize="9"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05. Analisa bahaya Rev 060317 </vt:lpstr>
      <vt:lpstr>L1. penilaian Rev 060317</vt:lpstr>
      <vt:lpstr>L2. Matrix 060317</vt:lpstr>
      <vt:lpstr>L3. Pohon keputusan</vt:lpstr>
      <vt:lpstr>'05. Analisa bahaya Rev 060317 '!Print_Area</vt:lpstr>
    </vt:vector>
  </TitlesOfParts>
  <Company>Nutreco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Lutfi</cp:lastModifiedBy>
  <cp:lastPrinted>2023-07-04T09:44:07Z</cp:lastPrinted>
  <dcterms:created xsi:type="dcterms:W3CDTF">2015-04-30T07:50:49Z</dcterms:created>
  <dcterms:modified xsi:type="dcterms:W3CDTF">2023-07-04T16:19:42Z</dcterms:modified>
</cp:coreProperties>
</file>