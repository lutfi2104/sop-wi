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Sasaran Keamanan Pangan\"/>
    </mc:Choice>
  </mc:AlternateContent>
  <xr:revisionPtr revIDLastSave="0" documentId="8_{FD6A2689-48AD-45BF-94FD-A8A5A227E3E5}" xr6:coauthVersionLast="47" xr6:coauthVersionMax="47" xr10:uidLastSave="{00000000-0000-0000-0000-000000000000}"/>
  <bookViews>
    <workbookView xWindow="-120" yWindow="-120" windowWidth="20730" windowHeight="11160" activeTab="1" xr2:uid="{41C96CBB-8D27-4EB2-8050-D03B4AD1DC93}"/>
  </bookViews>
  <sheets>
    <sheet name="2021" sheetId="1" r:id="rId1"/>
    <sheet name="202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2" l="1"/>
  <c r="N16" i="2"/>
  <c r="N18" i="1"/>
  <c r="N17" i="1"/>
</calcChain>
</file>

<file path=xl/sharedStrings.xml><?xml version="1.0" encoding="utf-8"?>
<sst xmlns="http://schemas.openxmlformats.org/spreadsheetml/2006/main" count="148" uniqueCount="99">
  <si>
    <t>LAPORAN KOMPLAIN CUSTOMER PT BERKAT CAHAYA NOVENA</t>
  </si>
  <si>
    <t>PERIODE 2021</t>
  </si>
  <si>
    <t>Hari/ Tanggal</t>
  </si>
  <si>
    <t>Customer</t>
  </si>
  <si>
    <t>Nama Produk</t>
  </si>
  <si>
    <t>Quantity</t>
  </si>
  <si>
    <t>Komplain</t>
  </si>
  <si>
    <t>Hasil Investigasi</t>
  </si>
  <si>
    <t>Corrective Action</t>
  </si>
  <si>
    <t>Status</t>
  </si>
  <si>
    <t>sak</t>
  </si>
  <si>
    <t>PT. Dagsap Endura Eatore</t>
  </si>
  <si>
    <t>MS 100 B Dp 02</t>
  </si>
  <si>
    <t>2 Sak</t>
  </si>
  <si>
    <t>Ditemukan benda asing plastik putih</t>
  </si>
  <si>
    <t>Open</t>
  </si>
  <si>
    <t>Wirontono</t>
  </si>
  <si>
    <t>WS 700 FR</t>
  </si>
  <si>
    <t>Bentuk produk yang tidak runcing</t>
  </si>
  <si>
    <t>Tidak stabilnya proses rounding sehingga gas dalam adonan tidak banyak yang terbuang dan tidak terbentuknya serat panjang</t>
  </si>
  <si>
    <t>Proses rounding dengan memipihkan secara merata pada setiap potongan adonan</t>
  </si>
  <si>
    <t>Done</t>
  </si>
  <si>
    <t>Banyak potongan roti</t>
  </si>
  <si>
    <t>Adanya potongan kecil untuk melengkapi jumlah bobot produk</t>
  </si>
  <si>
    <t>Melakukan penyesuaian terhadap berat produk WS 700 FR</t>
  </si>
  <si>
    <t>Multirasa</t>
  </si>
  <si>
    <t>OS 300 FR</t>
  </si>
  <si>
    <t>Warna produk tidak sesuai</t>
  </si>
  <si>
    <t>Bahan pewarna yang digunakan tidak sesuai</t>
  </si>
  <si>
    <t>Memastikan kembali kesesuaian raw material yang digunakan dengan spesifikasi</t>
  </si>
  <si>
    <t>Adanya kesalahan perbedaan ukuran partikel</t>
  </si>
  <si>
    <t>Miss Komunikasi, produk yang dikirim merupakan produk untuk customer lain</t>
  </si>
  <si>
    <t>Produk yang di tolak akan diretur dengan ukuran partikel sesuai dengan persyaratan
customer yaitu PT Multirasi Nusantara</t>
  </si>
  <si>
    <t>Tidak terdapat label pada kemasan primer</t>
  </si>
  <si>
    <t>Produk OS 300 FR memiliki perlakuan yang berbeda antar customer, yang
mengakibatkan tertukar perlakuan dan tidak konsisten dalam melakukan pelebelan
di kemasan primer</t>
  </si>
  <si>
    <t>Melakukan Breafing kepada team tentang pelebelan untuk produk OS 300 FR
customer PT Multirasa</t>
  </si>
  <si>
    <t>Dagsap</t>
  </si>
  <si>
    <t>Kemasan primer produk tersealing</t>
  </si>
  <si>
    <t>Uji coba sealing pada kemasan produk</t>
  </si>
  <si>
    <t>Kemasan primer produk untuk Dagsap tidak akan disealing</t>
  </si>
  <si>
    <t>CPB</t>
  </si>
  <si>
    <t>YS 100</t>
  </si>
  <si>
    <t>Temuan bintik hitam pada partikel breadcrumbs</t>
  </si>
  <si>
    <t>Kondisi mesin DD 1</t>
  </si>
  <si>
    <t>Dilakukan pengeringan di mesin DD3</t>
  </si>
  <si>
    <t>MS 100 B</t>
  </si>
  <si>
    <t>Material breadcrumbs menggumpal dan memiliki aroma yang  tidak normal</t>
  </si>
  <si>
    <t>Frame screen gumpalan pada mesin DD1 tidak presisi</t>
  </si>
  <si>
    <t>Memodifikasi frame screen gumpalan pada mesin DD1</t>
  </si>
  <si>
    <t>TAHUN</t>
  </si>
  <si>
    <t xml:space="preserve"> </t>
  </si>
  <si>
    <t>total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</si>
  <si>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</si>
  <si>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</si>
  <si>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</si>
  <si>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</si>
  <si>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</si>
  <si>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</si>
  <si>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</si>
  <si>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</si>
  <si>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</si>
  <si>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</si>
  <si>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</si>
  <si>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</si>
  <si>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Temuan 2020</t>
  </si>
  <si>
    <t>Temuan 2021</t>
  </si>
  <si>
    <t>DFI</t>
  </si>
  <si>
    <t>Mamasuka Orange</t>
  </si>
  <si>
    <t>Porto</t>
  </si>
  <si>
    <t>MS 100 M</t>
  </si>
  <si>
    <t>Material Breadcrumbs Terlalu Halus</t>
  </si>
  <si>
    <t>Temuan benda asing berupa bijih plastik putih dan silicon</t>
  </si>
  <si>
    <t>Ukuran partikel breadcrumbs lebih kecil dari ukuran sampel</t>
  </si>
  <si>
    <t>Ukuran screen yang digunakan mesin DD tidak sesuai/tidak akurat dengan yang seharusnya</t>
  </si>
  <si>
    <t>Harus distandarkan ulang setiap label ukuran screen dengan ukuran sebenarnya</t>
  </si>
  <si>
    <t>benda asing berupa bijih plastik berasal dari kemasan sekunder yang digunakan pada produk</t>
  </si>
  <si>
    <t>Temuan 2022</t>
  </si>
  <si>
    <t>PERIODE 2022</t>
  </si>
  <si>
    <t>Tamron</t>
  </si>
  <si>
    <t>WS 303 FR</t>
  </si>
  <si>
    <t>TPC untuk pengiriman terakhir diatas ambang batas</t>
  </si>
  <si>
    <t>Preventive Action</t>
  </si>
  <si>
    <t>Mempercepat proses pengerjaan produk fresh</t>
  </si>
  <si>
    <t>Kadar air melebihi batas spec</t>
  </si>
  <si>
    <t>Menurunkan standar internal kadar air untuk produk WS 303 FR</t>
  </si>
  <si>
    <t>Mamasuka Mix</t>
  </si>
  <si>
    <t>Label expired tidak sesuai</t>
  </si>
  <si>
    <t>Verifikasi ulang untuk setiap hasil cetakan</t>
  </si>
  <si>
    <t>.</t>
  </si>
  <si>
    <t xml:space="preserve">1. Ditemukan helai rambut
2. Ditemukan partikel hitam </t>
  </si>
  <si>
    <t>1. Helai rambut berasal dari practice personal hygiene yang kurang tepat
2. Partikel hitam kemungkinan bagian dari roti gosong yang tidak  di triming secara sempurna</t>
  </si>
  <si>
    <t>1. Melakukan training kembali kpd operator fresh BC terkait personal hygiene yg tepat
2. Melakukan briefing kpd operator triming terkait bagian roti yang harus di triming</t>
  </si>
  <si>
    <t>Porto Food Indonesia</t>
  </si>
  <si>
    <t>Temuan kontaminasi partikel white BC</t>
  </si>
  <si>
    <t>Adanya kontaminasi warna dari produk white BC pada loyang EB</t>
  </si>
  <si>
    <t>1. Melakukan pembersihan secara menyeluruh pada loyang saat ada pergantian produk
2. Penetapan dedicated operator untuk melakukan cleaning loyang EB setiap shift</t>
  </si>
  <si>
    <t>kecil</t>
  </si>
  <si>
    <t>sedang</t>
  </si>
  <si>
    <t>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</si>
</sst>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\(&quot;$&quot;#,##0\)"/>
  </numFmts>
  <fonts count="14" x14ac:knownFonts="1">
    <font>
      <sz val="11"/>
      <color theme="1"/>
      <name val="Calibri"/>
      <family val="2"/>
      <charset val="1"/>
      <scheme val="minor"/>
    </font>
    <font>
      <b/>
      <sz val="20"/>
      <color indexed="8"/>
      <name val="Garamond"/>
      <family val="1"/>
    </font>
    <font>
      <b/>
      <sz val="12"/>
      <color indexed="8"/>
      <name val="Garamond"/>
      <family val="1"/>
    </font>
    <font>
      <b/>
      <sz val="13"/>
      <color indexed="8"/>
      <name val="Garamond"/>
      <family val="1"/>
    </font>
    <font>
      <b/>
      <sz val="11"/>
      <color indexed="8"/>
      <name val="Garamond"/>
      <family val="1"/>
    </font>
    <font>
      <b/>
      <sz val="13"/>
      <color indexed="10"/>
      <name val="Garamond"/>
      <family val="1"/>
    </font>
    <font>
      <b/>
      <sz val="12"/>
      <color theme="1"/>
      <name val="Garamond"/>
      <family val="1"/>
    </font>
    <font>
      <b/>
      <sz val="13"/>
      <color theme="1"/>
      <name val="Garamond"/>
      <family val="1"/>
    </font>
    <font>
      <b/>
      <sz val="11"/>
      <color theme="1"/>
      <name val="Garamond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Garamond"/>
      <family val="1"/>
    </font>
    <font>
      <b/>
      <sz val="14"/>
      <color indexed="10"/>
      <name val="Garamond"/>
      <family val="1"/>
    </font>
    <font>
      <b/>
      <sz val="14"/>
      <color theme="1"/>
      <name val="Garamond"/>
      <family val="1"/>
    </font>
  </fonts>
  <fills count="12">
    <fill>
      <patternFill patternType="none"/>
    </fill>
    <fill>
      <patternFill patternType="gray125"/>
    </fill>
    <fill>
      <patternFill patternType="solid">
        <fgColor indexed="46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8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164" fontId="1" fillId="0" borderId="0" xfId="0" applyNumberFormat="1" applyFont="1"/>
    <xf numFmtId="0" fontId="1" fillId="0" borderId="0" xfId="0" applyFont="1"/>
    <xf numFmtId="1" fontId="3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15" fontId="2" fillId="0" borderId="7" xfId="0" quotePrefix="1" applyNumberFormat="1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3" fillId="3" borderId="7" xfId="0" quotePrefix="1" applyNumberFormat="1" applyFont="1" applyFill="1" applyBorder="1" applyAlignment="1">
      <alignment vertical="center" wrapText="1"/>
    </xf>
    <xf numFmtId="1" fontId="3" fillId="0" borderId="7" xfId="0" quotePrefix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" fontId="5" fillId="0" borderId="7" xfId="0" applyNumberFormat="1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0" borderId="7" xfId="0" quotePrefix="1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9" fontId="2" fillId="0" borderId="7" xfId="0" applyNumberFormat="1" applyFont="1" applyBorder="1" applyAlignment="1">
      <alignment horizontal="center" vertical="center" wrapText="1"/>
    </xf>
    <xf numFmtId="1" fontId="2" fillId="3" borderId="7" xfId="0" quotePrefix="1" applyNumberFormat="1" applyFont="1" applyFill="1" applyBorder="1" applyAlignment="1">
      <alignment vertical="center" wrapText="1"/>
    </xf>
    <xf numFmtId="0" fontId="6" fillId="0" borderId="7" xfId="0" quotePrefix="1" applyFont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15" fontId="11" fillId="7" borderId="7" xfId="0" quotePrefix="1" applyNumberFormat="1" applyFont="1" applyFill="1" applyBorder="1" applyAlignment="1">
      <alignment horizontal="center" vertical="center" wrapText="1"/>
    </xf>
    <xf numFmtId="9" fontId="11" fillId="7" borderId="7" xfId="0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1" fontId="12" fillId="7" borderId="7" xfId="0" applyNumberFormat="1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1" fontId="11" fillId="8" borderId="7" xfId="0" quotePrefix="1" applyNumberFormat="1" applyFont="1" applyFill="1" applyBorder="1" applyAlignment="1">
      <alignment horizontal="left" vertical="center" wrapText="1"/>
    </xf>
    <xf numFmtId="0" fontId="13" fillId="7" borderId="7" xfId="0" quotePrefix="1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5" fontId="2" fillId="0" borderId="8" xfId="0" quotePrefix="1" applyNumberFormat="1" applyFont="1" applyBorder="1" applyAlignment="1">
      <alignment horizontal="center" vertical="center" wrapText="1"/>
    </xf>
    <xf numFmtId="15" fontId="2" fillId="0" borderId="9" xfId="0" quotePrefix="1" applyNumberFormat="1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5" fontId="2" fillId="6" borderId="7" xfId="0" quotePrefix="1" applyNumberFormat="1" applyFont="1" applyFill="1" applyBorder="1" applyAlignment="1">
      <alignment horizontal="center" vertical="center" wrapText="1"/>
    </xf>
    <xf numFmtId="9" fontId="2" fillId="6" borderId="7" xfId="0" applyNumberFormat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1" fontId="5" fillId="6" borderId="7" xfId="0" applyNumberFormat="1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1" fontId="2" fillId="9" borderId="7" xfId="0" quotePrefix="1" applyNumberFormat="1" applyFont="1" applyFill="1" applyBorder="1" applyAlignment="1">
      <alignment vertical="center" wrapText="1"/>
    </xf>
    <xf numFmtId="0" fontId="6" fillId="6" borderId="7" xfId="0" quotePrefix="1" applyFont="1" applyFill="1" applyBorder="1" applyAlignment="1">
      <alignment vertical="center" wrapText="1"/>
    </xf>
    <xf numFmtId="0" fontId="8" fillId="6" borderId="7" xfId="0" applyFont="1" applyFill="1" applyBorder="1" applyAlignment="1">
      <alignment vertical="center"/>
    </xf>
    <xf numFmtId="0" fontId="0" fillId="6" borderId="0" xfId="0" applyFill="1"/>
    <xf numFmtId="15" fontId="11" fillId="6" borderId="7" xfId="0" quotePrefix="1" applyNumberFormat="1" applyFont="1" applyFill="1" applyBorder="1" applyAlignment="1">
      <alignment horizontal="center" vertical="center" wrapText="1"/>
    </xf>
    <xf numFmtId="9" fontId="11" fillId="6" borderId="7" xfId="0" applyNumberFormat="1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1" fontId="12" fillId="6" borderId="7" xfId="0" applyNumberFormat="1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1" fontId="11" fillId="9" borderId="7" xfId="0" quotePrefix="1" applyNumberFormat="1" applyFont="1" applyFill="1" applyBorder="1" applyAlignment="1">
      <alignment vertical="center" wrapText="1"/>
    </xf>
    <xf numFmtId="0" fontId="13" fillId="6" borderId="7" xfId="0" quotePrefix="1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/>
    </xf>
    <xf numFmtId="15" fontId="2" fillId="10" borderId="7" xfId="0" quotePrefix="1" applyNumberFormat="1" applyFont="1" applyFill="1" applyBorder="1" applyAlignment="1">
      <alignment horizontal="center" vertical="center" wrapText="1"/>
    </xf>
    <xf numFmtId="9" fontId="2" fillId="10" borderId="7" xfId="0" applyNumberFormat="1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1" fontId="5" fillId="10" borderId="7" xfId="0" applyNumberFormat="1" applyFont="1" applyFill="1" applyBorder="1" applyAlignment="1">
      <alignment vertical="center" wrapText="1"/>
    </xf>
    <xf numFmtId="0" fontId="6" fillId="10" borderId="7" xfId="0" applyFont="1" applyFill="1" applyBorder="1" applyAlignment="1">
      <alignment vertical="center" wrapText="1"/>
    </xf>
    <xf numFmtId="1" fontId="2" fillId="11" borderId="7" xfId="0" quotePrefix="1" applyNumberFormat="1" applyFont="1" applyFill="1" applyBorder="1" applyAlignment="1">
      <alignment vertical="center" wrapText="1"/>
    </xf>
    <xf numFmtId="0" fontId="6" fillId="10" borderId="7" xfId="0" quotePrefix="1" applyFont="1" applyFill="1" applyBorder="1" applyAlignment="1">
      <alignment vertical="center" wrapText="1"/>
    </xf>
    <xf numFmtId="0" fontId="8" fillId="10" borderId="7" xfId="0" applyFont="1" applyFill="1" applyBorder="1" applyAlignment="1">
      <alignment vertical="center"/>
    </xf>
    <xf numFmtId="0" fontId="0" fillId="10" borderId="0" xfId="0" applyFill="1"/>
    <xf numFmtId="1" fontId="5" fillId="7" borderId="7" xfId="0" applyNumberFormat="1" applyFont="1" applyFill="1" applyBorder="1" applyAlignment="1">
      <alignment vertical="center" wrapText="1"/>
    </xf>
    <xf numFmtId="0" fontId="6" fillId="7" borderId="7" xfId="0" applyFont="1" applyFill="1" applyBorder="1" applyAlignment="1">
      <alignment vertical="center" wrapText="1"/>
    </xf>
    <xf numFmtId="1" fontId="2" fillId="8" borderId="7" xfId="0" quotePrefix="1" applyNumberFormat="1" applyFont="1" applyFill="1" applyBorder="1" applyAlignment="1">
      <alignment vertical="center" wrapText="1"/>
    </xf>
    <xf numFmtId="0" fontId="6" fillId="7" borderId="7" xfId="0" quotePrefix="1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Customer complaint 2021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'2021'!$A$17</c:f>
              <c:strCache>
                <c:ptCount val="1"/>
                <c:pt idx="0">
                  <c:v>Temuan 2020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'2021'!$B$16:$M$16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'2021'!$B$17:$M$17</c:f>
              <c:numCache>
                <c:formatCode>General</c:formatCode>
                <c:ptCount val="12"/>
                <c:pt idx="0">
                  <c:v>5</c:v>
                </c:pt>
                <c:pt idx="1">
                  <c:v>12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E-4270-B115-2CE1E045778D}"/>
            </c:ext>
          </c:extLst>
        </c:ser>
        <c:ser>
          <c:idx val="1"/>
          <c:order val="1"/>
          <c:tx>
            <c:strRef>
              <c:f>'2021'!$A$18</c:f>
              <c:strCache>
                <c:ptCount val="1"/>
                <c:pt idx="0">
                  <c:v>Temuan 2021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'2021'!$B$16:$M$16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'2021'!$B$18:$M$18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E-4270-B115-2CE1E0457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261184"/>
        <c:axId val="275263536"/>
      </c:lineChart>
      <c:catAx>
        <c:axId val="2752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263536"/>
        <c:crosses val="autoZero"/>
        <c:auto val="1"/>
        <c:lblAlgn val="ctr"/>
        <c:lblOffset val="100"/>
        <c:noMultiLvlLbl val="0"/>
      </c:catAx>
      <c:valAx>
        <c:axId val="275263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d-ID"/>
                  <a:t>Jumlah Complain/Bulan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261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d-ID"/>
              <a:t>Customer complaint 202</a:t>
            </a:r>
            <a:r>
              <a:rPr lang="en-US"/>
              <a:t>2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'2022'!$A$16</c:f>
              <c:strCache>
                <c:ptCount val="1"/>
                <c:pt idx="0">
                  <c:v>Temuan 2022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'2022'!$B$15:$M$15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'2022'!$B$16:$M$16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5-4E15-8248-CBC053AB6B00}"/>
            </c:ext>
          </c:extLst>
        </c:ser>
        <c:ser>
          <c:idx val="1"/>
          <c:order val="1"/>
          <c:tx>
            <c:strRef>
              <c:f>'2022'!$A$17</c:f>
              <c:strCache>
                <c:ptCount val="1"/>
                <c:pt idx="0">
                  <c:v>Temuan 2021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'2022'!$B$15:$M$15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'2022'!$B$17:$M$17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5-4E15-8248-CBC053AB6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261184"/>
        <c:axId val="275263536"/>
      </c:lineChart>
      <c:catAx>
        <c:axId val="2752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63536"/>
        <c:crosses val="autoZero"/>
        <c:auto val="1"/>
        <c:lblAlgn val="ctr"/>
        <c:lblOffset val="100"/>
        <c:noMultiLvlLbl val="0"/>
      </c:catAx>
      <c:valAx>
        <c:axId val="2752635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Jumlah Complain/Bulan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611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344920</xdr:colOff>
      <xdr:row>18</xdr:row>
      <xdr:rowOff>100446</xdr:rowOff>
    </xdr:from>
    <xdr:to>
      <xdr:col>11</xdr:col>
      <xdr:colOff>554470</xdr:colOff>
      <xdr:row>33</xdr:row>
      <xdr:rowOff>17607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B0F111D-5159-4AB1-B030-C870351EC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344920</xdr:colOff>
      <xdr:row>17</xdr:row>
      <xdr:rowOff>100446</xdr:rowOff>
    </xdr:from>
    <xdr:to>
      <xdr:col>11</xdr:col>
      <xdr:colOff>554470</xdr:colOff>
      <xdr:row>32</xdr:row>
      <xdr:rowOff>17607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C1C74FCF-FB1C-4914-B4B2-D50F90CEA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614-1A75-43C0-864A-5BCDDD93E0DB}">
  <dimension ref="A1:P36"/>
  <sheetViews>
    <sheetView showGridLines="0" zoomScale="68" zoomScaleNormal="68" workbookViewId="0">
      <pane ySplit="6" topLeftCell="A13" activePane="bottomLeft" state="frozen"/>
      <selection pane="bottomLeft" activeCell="B20" sqref="B20"/>
    </sheetView>
  </sheetViews>
  <sheetFormatPr defaultColWidth="9.140625" defaultRowHeight="15" x14ac:dyDescent="0.25"/>
  <cols>
    <col min="1" max="1" width="26.7109375" customWidth="1"/>
    <col min="2" max="2" width="12.42578125" customWidth="1"/>
    <col min="3" max="3" width="15" customWidth="1"/>
    <col min="4" max="4" width="11.140625" customWidth="1"/>
    <col min="5" max="5" width="25" customWidth="1"/>
    <col min="6" max="6" width="39.42578125" customWidth="1"/>
    <col min="7" max="7" width="46.5703125" customWidth="1"/>
    <col min="9" max="9" width="11" customWidth="1"/>
    <col min="10" max="10" width="12.28515625" customWidth="1"/>
    <col min="11" max="11" width="9.7109375" customWidth="1"/>
    <col min="12" max="12" width="10.42578125" customWidth="1"/>
    <col min="13" max="13" width="10.140625" customWidth="1"/>
  </cols>
  <sheetData>
    <row r="1" spans="1:16" ht="26.25" x14ac:dyDescent="0.4">
      <c r="A1" s="47" t="s">
        <v>0</v>
      </c>
      <c r="B1" s="47"/>
      <c r="C1" s="47"/>
      <c r="D1" s="47"/>
      <c r="E1" s="47"/>
      <c r="F1" s="47"/>
      <c r="G1" s="47"/>
      <c r="H1" s="47"/>
      <c r="I1" s="1"/>
      <c r="J1" s="1"/>
      <c r="K1" s="1"/>
      <c r="L1" s="1"/>
      <c r="M1" s="1"/>
      <c r="N1" s="1"/>
      <c r="O1" s="1"/>
      <c r="P1" s="1"/>
    </row>
    <row r="2" spans="1:16" ht="26.25" x14ac:dyDescent="0.4">
      <c r="A2" s="48" t="s">
        <v>1</v>
      </c>
      <c r="B2" s="48"/>
      <c r="C2" s="48"/>
      <c r="D2" s="48"/>
      <c r="E2" s="48"/>
      <c r="F2" s="48"/>
      <c r="G2" s="48"/>
      <c r="H2" s="48"/>
      <c r="I2" s="2"/>
      <c r="J2" s="2"/>
      <c r="K2" s="2"/>
      <c r="L2" s="2"/>
      <c r="M2" s="2"/>
      <c r="N2" s="2"/>
      <c r="O2" s="2"/>
      <c r="P2" s="2"/>
    </row>
    <row r="4" spans="1:16" ht="16.5" x14ac:dyDescent="0.25">
      <c r="A4" s="49" t="s">
        <v>2</v>
      </c>
      <c r="B4" s="51" t="s">
        <v>3</v>
      </c>
      <c r="C4" s="53" t="s">
        <v>4</v>
      </c>
      <c r="D4" s="3" t="s">
        <v>5</v>
      </c>
      <c r="E4" s="55" t="s">
        <v>6</v>
      </c>
      <c r="F4" s="57" t="s">
        <v>7</v>
      </c>
      <c r="G4" s="57" t="s">
        <v>8</v>
      </c>
      <c r="H4" s="55" t="s">
        <v>9</v>
      </c>
    </row>
    <row r="5" spans="1:16" ht="16.5" customHeight="1" x14ac:dyDescent="0.25">
      <c r="A5" s="50"/>
      <c r="B5" s="52"/>
      <c r="C5" s="54"/>
      <c r="D5" s="4" t="s">
        <v>10</v>
      </c>
      <c r="E5" s="56"/>
      <c r="F5" s="58"/>
      <c r="G5" s="58"/>
      <c r="H5" s="56"/>
    </row>
    <row r="6" spans="1:16" ht="99.75" hidden="1" customHeight="1" x14ac:dyDescent="0.25">
      <c r="A6" s="5">
        <v>44026</v>
      </c>
      <c r="B6" s="6" t="s">
        <v>11</v>
      </c>
      <c r="C6" s="7" t="s">
        <v>12</v>
      </c>
      <c r="D6" s="8" t="s">
        <v>13</v>
      </c>
      <c r="E6" s="9" t="s">
        <v>14</v>
      </c>
      <c r="F6" s="10"/>
      <c r="G6" s="11"/>
      <c r="H6" s="12" t="s">
        <v>15</v>
      </c>
    </row>
    <row r="7" spans="1:16" ht="84.95" customHeight="1" x14ac:dyDescent="0.25">
      <c r="A7" s="38">
        <v>44447</v>
      </c>
      <c r="B7" s="40" t="s">
        <v>16</v>
      </c>
      <c r="C7" s="42" t="s">
        <v>17</v>
      </c>
      <c r="D7" s="13"/>
      <c r="E7" s="14" t="s">
        <v>18</v>
      </c>
      <c r="F7" s="10" t="s">
        <v>19</v>
      </c>
      <c r="G7" s="15" t="s">
        <v>20</v>
      </c>
      <c r="H7" s="16" t="s">
        <v>21</v>
      </c>
    </row>
    <row r="8" spans="1:16" ht="84.95" customHeight="1" x14ac:dyDescent="0.25">
      <c r="A8" s="39"/>
      <c r="B8" s="41"/>
      <c r="C8" s="43"/>
      <c r="D8" s="13"/>
      <c r="E8" s="14" t="s">
        <v>22</v>
      </c>
      <c r="F8" s="10" t="s">
        <v>23</v>
      </c>
      <c r="G8" s="15" t="s">
        <v>24</v>
      </c>
      <c r="H8" s="16" t="s">
        <v>21</v>
      </c>
    </row>
    <row r="9" spans="1:16" ht="84.75" customHeight="1" x14ac:dyDescent="0.25">
      <c r="A9" s="5">
        <v>44473</v>
      </c>
      <c r="B9" s="17" t="s">
        <v>25</v>
      </c>
      <c r="C9" s="7" t="s">
        <v>26</v>
      </c>
      <c r="D9" s="13"/>
      <c r="E9" s="14" t="s">
        <v>27</v>
      </c>
      <c r="F9" s="10" t="s">
        <v>28</v>
      </c>
      <c r="G9" s="15" t="s">
        <v>29</v>
      </c>
      <c r="H9" s="16" t="s">
        <v>21</v>
      </c>
    </row>
    <row r="10" spans="1:16" ht="84.75" customHeight="1" x14ac:dyDescent="0.25">
      <c r="A10" s="5">
        <v>44504</v>
      </c>
      <c r="B10" s="40" t="s">
        <v>25</v>
      </c>
      <c r="C10" s="42" t="s">
        <v>26</v>
      </c>
      <c r="D10" s="13"/>
      <c r="E10" s="14" t="s">
        <v>30</v>
      </c>
      <c r="F10" s="18" t="s">
        <v>31</v>
      </c>
      <c r="G10" s="19" t="s">
        <v>32</v>
      </c>
      <c r="H10" s="16" t="s">
        <v>21</v>
      </c>
    </row>
    <row r="11" spans="1:16" ht="114" customHeight="1" x14ac:dyDescent="0.25">
      <c r="A11" s="5">
        <v>44522</v>
      </c>
      <c r="B11" s="41"/>
      <c r="C11" s="43"/>
      <c r="D11" s="13"/>
      <c r="E11" s="14" t="s">
        <v>33</v>
      </c>
      <c r="F11" s="18" t="s">
        <v>34</v>
      </c>
      <c r="G11" s="19" t="s">
        <v>35</v>
      </c>
      <c r="H11" s="16" t="s">
        <v>21</v>
      </c>
    </row>
    <row r="12" spans="1:16" ht="114" customHeight="1" x14ac:dyDescent="0.25">
      <c r="A12" s="5">
        <v>44522</v>
      </c>
      <c r="B12" s="17" t="s">
        <v>36</v>
      </c>
      <c r="C12" s="7" t="s">
        <v>12</v>
      </c>
      <c r="D12" s="13"/>
      <c r="E12" s="14" t="s">
        <v>37</v>
      </c>
      <c r="F12" s="18" t="s">
        <v>38</v>
      </c>
      <c r="G12" s="19" t="s">
        <v>39</v>
      </c>
      <c r="H12" s="16" t="s">
        <v>21</v>
      </c>
    </row>
    <row r="13" spans="1:16" ht="114" customHeight="1" x14ac:dyDescent="0.25">
      <c r="A13" s="5">
        <v>44545</v>
      </c>
      <c r="B13" s="17" t="s">
        <v>40</v>
      </c>
      <c r="C13" s="7" t="s">
        <v>41</v>
      </c>
      <c r="D13" s="13">
        <v>76</v>
      </c>
      <c r="E13" s="14" t="s">
        <v>42</v>
      </c>
      <c r="F13" s="18" t="s">
        <v>43</v>
      </c>
      <c r="G13" s="19" t="s">
        <v>44</v>
      </c>
      <c r="H13" s="16" t="s">
        <v>21</v>
      </c>
    </row>
    <row r="14" spans="1:16" ht="114" customHeight="1" x14ac:dyDescent="0.25">
      <c r="A14" s="5">
        <v>44548</v>
      </c>
      <c r="B14" s="17" t="s">
        <v>36</v>
      </c>
      <c r="C14" s="7" t="s">
        <v>45</v>
      </c>
      <c r="D14" s="13">
        <v>1</v>
      </c>
      <c r="E14" s="14" t="s">
        <v>46</v>
      </c>
      <c r="F14" s="18" t="s">
        <v>47</v>
      </c>
      <c r="G14" s="19" t="s">
        <v>48</v>
      </c>
      <c r="H14" s="16" t="s">
        <v>21</v>
      </c>
    </row>
    <row r="15" spans="1:16" ht="15.75" thickBot="1" x14ac:dyDescent="0.3">
      <c r="A15" s="20" t="s">
        <v>49</v>
      </c>
      <c r="B15" s="44" t="s">
        <v>50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6"/>
      <c r="N15" s="35" t="s">
        <v>51</v>
      </c>
    </row>
    <row r="16" spans="1:16" ht="24" customHeight="1" thickBot="1" x14ac:dyDescent="0.3">
      <c r="A16" s="21"/>
      <c r="B16" s="21" t="s">
        <v>52</v>
      </c>
      <c r="C16" s="21" t="s">
        <v>53</v>
      </c>
      <c r="D16" s="21" t="s">
        <v>54</v>
      </c>
      <c r="E16" s="21" t="s">
        <v>55</v>
      </c>
      <c r="F16" s="21" t="s">
        <v>56</v>
      </c>
      <c r="G16" s="21" t="s">
        <v>57</v>
      </c>
      <c r="H16" s="21" t="s">
        <v>58</v>
      </c>
      <c r="I16" s="21" t="s">
        <v>59</v>
      </c>
      <c r="J16" s="21" t="s">
        <v>60</v>
      </c>
      <c r="K16" s="21" t="s">
        <v>61</v>
      </c>
      <c r="L16" s="21" t="s">
        <v>62</v>
      </c>
      <c r="M16" s="21" t="s">
        <v>63</v>
      </c>
      <c r="N16" s="36"/>
    </row>
    <row r="17" spans="1:14" x14ac:dyDescent="0.25">
      <c r="A17" s="22" t="s">
        <v>64</v>
      </c>
      <c r="B17" s="23">
        <v>5</v>
      </c>
      <c r="C17" s="23">
        <v>12</v>
      </c>
      <c r="D17" s="23">
        <v>3</v>
      </c>
      <c r="E17" s="23">
        <v>3</v>
      </c>
      <c r="F17" s="23">
        <v>2</v>
      </c>
      <c r="G17" s="23">
        <v>1</v>
      </c>
      <c r="H17" s="23">
        <v>2</v>
      </c>
      <c r="I17" s="23">
        <v>1</v>
      </c>
      <c r="J17" s="23">
        <v>2</v>
      </c>
      <c r="K17" s="23">
        <v>1</v>
      </c>
      <c r="L17" s="23">
        <v>1</v>
      </c>
      <c r="M17" s="23">
        <v>1</v>
      </c>
      <c r="N17" s="24">
        <f>SUM(B17:M17)</f>
        <v>34</v>
      </c>
    </row>
    <row r="18" spans="1:14" x14ac:dyDescent="0.25">
      <c r="A18" s="25" t="s">
        <v>65</v>
      </c>
      <c r="B18" s="12">
        <v>3</v>
      </c>
      <c r="C18" s="12">
        <v>1</v>
      </c>
      <c r="D18" s="12">
        <v>2</v>
      </c>
      <c r="E18" s="12">
        <v>1</v>
      </c>
      <c r="F18" s="12">
        <v>1</v>
      </c>
      <c r="G18" s="12">
        <v>0</v>
      </c>
      <c r="H18" s="12">
        <v>1</v>
      </c>
      <c r="I18" s="12">
        <v>2</v>
      </c>
      <c r="J18" s="12">
        <v>1</v>
      </c>
      <c r="K18" s="12">
        <v>1</v>
      </c>
      <c r="L18" s="12">
        <v>3</v>
      </c>
      <c r="M18" s="12">
        <v>2</v>
      </c>
      <c r="N18" s="26">
        <f>SUM(B18:M18)</f>
        <v>18</v>
      </c>
    </row>
    <row r="36" spans="2:3" x14ac:dyDescent="0.25">
      <c r="B36" s="37"/>
      <c r="C36" s="37"/>
    </row>
  </sheetData>
  <mergeCells count="17">
    <mergeCell ref="A1:H1"/>
    <mergeCell ref="A2:H2"/>
    <mergeCell ref="A4:A5"/>
    <mergeCell ref="B4:B5"/>
    <mergeCell ref="C4:C5"/>
    <mergeCell ref="E4:E5"/>
    <mergeCell ref="F4:F5"/>
    <mergeCell ref="G4:G5"/>
    <mergeCell ref="H4:H5"/>
    <mergeCell ref="N15:N16"/>
    <mergeCell ref="B36:C36"/>
    <mergeCell ref="A7:A8"/>
    <mergeCell ref="B7:B8"/>
    <mergeCell ref="C7:C8"/>
    <mergeCell ref="B10:B11"/>
    <mergeCell ref="C10:C11"/>
    <mergeCell ref="B15:M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3AE3-395C-4834-9F3D-D65EABB3E2CB}">
  <dimension ref="A1:P35"/>
  <sheetViews>
    <sheetView showGridLines="0" tabSelected="1" zoomScale="68" zoomScaleNormal="68" workbookViewId="0">
      <pane ySplit="5" topLeftCell="A6" activePane="bottomLeft" state="frozen"/>
      <selection pane="bottomLeft" activeCell="O7" sqref="O7"/>
    </sheetView>
  </sheetViews>
  <sheetFormatPr defaultColWidth="9.140625" defaultRowHeight="15" x14ac:dyDescent="0.25"/>
  <cols>
    <col min="1" max="1" width="26.7109375" customWidth="1"/>
    <col min="2" max="2" width="12.42578125" customWidth="1"/>
    <col min="3" max="3" width="15" customWidth="1"/>
    <col min="4" max="4" width="11.140625" customWidth="1"/>
    <col min="5" max="5" width="25" customWidth="1"/>
    <col min="6" max="6" width="39.42578125" customWidth="1"/>
    <col min="7" max="7" width="46.5703125" customWidth="1"/>
    <col min="9" max="9" width="11" customWidth="1"/>
    <col min="10" max="10" width="12.28515625" customWidth="1"/>
    <col min="11" max="11" width="9.7109375" customWidth="1"/>
    <col min="12" max="12" width="10.42578125" customWidth="1"/>
    <col min="13" max="13" width="10.140625" customWidth="1"/>
  </cols>
  <sheetData>
    <row r="1" spans="1:16" ht="26.25" x14ac:dyDescent="0.4">
      <c r="A1" s="47" t="s">
        <v>0</v>
      </c>
      <c r="B1" s="47"/>
      <c r="C1" s="47"/>
      <c r="D1" s="47"/>
      <c r="E1" s="47"/>
      <c r="F1" s="47"/>
      <c r="G1" s="47"/>
      <c r="H1" s="47"/>
      <c r="I1" s="1"/>
      <c r="J1" s="1"/>
      <c r="K1" s="1"/>
      <c r="L1" s="1"/>
      <c r="M1" s="1"/>
      <c r="N1" s="1"/>
      <c r="O1" s="1"/>
      <c r="P1" s="1"/>
    </row>
    <row r="2" spans="1:16" ht="26.25" x14ac:dyDescent="0.4">
      <c r="A2" s="48" t="s">
        <v>77</v>
      </c>
      <c r="B2" s="48"/>
      <c r="C2" s="48"/>
      <c r="D2" s="48"/>
      <c r="E2" s="48"/>
      <c r="F2" s="48"/>
      <c r="G2" s="48"/>
      <c r="H2" s="48"/>
      <c r="I2" s="2"/>
      <c r="J2" s="2"/>
      <c r="K2" s="2"/>
      <c r="L2" s="2"/>
      <c r="M2" s="2"/>
      <c r="N2" s="2"/>
      <c r="O2" s="2"/>
      <c r="P2" s="2"/>
    </row>
    <row r="4" spans="1:16" ht="16.5" x14ac:dyDescent="0.25">
      <c r="A4" s="49" t="s">
        <v>2</v>
      </c>
      <c r="B4" s="51" t="s">
        <v>3</v>
      </c>
      <c r="C4" s="53" t="s">
        <v>4</v>
      </c>
      <c r="D4" s="3" t="s">
        <v>5</v>
      </c>
      <c r="E4" s="55" t="s">
        <v>6</v>
      </c>
      <c r="F4" s="57" t="s">
        <v>7</v>
      </c>
      <c r="G4" s="57" t="s">
        <v>81</v>
      </c>
      <c r="H4" s="55" t="s">
        <v>9</v>
      </c>
    </row>
    <row r="5" spans="1:16" ht="16.5" customHeight="1" x14ac:dyDescent="0.25">
      <c r="A5" s="50"/>
      <c r="B5" s="52"/>
      <c r="C5" s="54"/>
      <c r="D5" s="4" t="s">
        <v>10</v>
      </c>
      <c r="E5" s="56"/>
      <c r="F5" s="58"/>
      <c r="G5" s="58"/>
      <c r="H5" s="56"/>
    </row>
    <row r="6" spans="1:16" s="67" customFormat="1" ht="114" customHeight="1" x14ac:dyDescent="0.25">
      <c r="A6" s="59">
        <v>44582</v>
      </c>
      <c r="B6" s="60" t="s">
        <v>68</v>
      </c>
      <c r="C6" s="61" t="s">
        <v>69</v>
      </c>
      <c r="D6" s="62"/>
      <c r="E6" s="63" t="s">
        <v>72</v>
      </c>
      <c r="F6" s="64" t="s">
        <v>73</v>
      </c>
      <c r="G6" s="65" t="s">
        <v>74</v>
      </c>
      <c r="H6" s="66" t="s">
        <v>21</v>
      </c>
      <c r="I6" s="67">
        <v>1</v>
      </c>
      <c r="M6" s="67" t="s">
        <v>96</v>
      </c>
      <c r="N6" s="67" t="s">
        <v>97</v>
      </c>
      <c r="O6" s="67" t="s">
        <v>98</v>
      </c>
    </row>
    <row r="7" spans="1:16" ht="114" customHeight="1" x14ac:dyDescent="0.25">
      <c r="A7" s="5">
        <v>44587</v>
      </c>
      <c r="B7" s="17" t="s">
        <v>36</v>
      </c>
      <c r="C7" s="7" t="s">
        <v>12</v>
      </c>
      <c r="D7" s="13">
        <v>275</v>
      </c>
      <c r="E7" s="14" t="s">
        <v>71</v>
      </c>
      <c r="F7" s="18" t="s">
        <v>75</v>
      </c>
      <c r="G7" s="19"/>
      <c r="H7" s="16" t="s">
        <v>21</v>
      </c>
      <c r="M7">
        <v>2</v>
      </c>
      <c r="N7">
        <v>2</v>
      </c>
      <c r="O7">
        <v>1</v>
      </c>
    </row>
    <row r="8" spans="1:16" s="84" customFormat="1" ht="114" customHeight="1" x14ac:dyDescent="0.25">
      <c r="A8" s="76">
        <v>44589</v>
      </c>
      <c r="B8" s="77" t="s">
        <v>66</v>
      </c>
      <c r="C8" s="78" t="s">
        <v>67</v>
      </c>
      <c r="D8" s="79">
        <v>1</v>
      </c>
      <c r="E8" s="80" t="s">
        <v>70</v>
      </c>
      <c r="F8" s="81"/>
      <c r="G8" s="82"/>
      <c r="H8" s="83" t="s">
        <v>21</v>
      </c>
      <c r="I8" s="84">
        <v>2</v>
      </c>
    </row>
    <row r="9" spans="1:16" s="90" customFormat="1" ht="114" customHeight="1" x14ac:dyDescent="0.25">
      <c r="A9" s="38">
        <v>44604</v>
      </c>
      <c r="B9" s="40" t="s">
        <v>78</v>
      </c>
      <c r="C9" s="42" t="s">
        <v>79</v>
      </c>
      <c r="D9" s="85"/>
      <c r="E9" s="86" t="s">
        <v>80</v>
      </c>
      <c r="F9" s="87"/>
      <c r="G9" s="88" t="s">
        <v>82</v>
      </c>
      <c r="H9" s="89" t="s">
        <v>21</v>
      </c>
      <c r="I9" s="90">
        <v>3</v>
      </c>
    </row>
    <row r="10" spans="1:16" ht="114" customHeight="1" x14ac:dyDescent="0.25">
      <c r="A10" s="39"/>
      <c r="B10" s="41"/>
      <c r="C10" s="43"/>
      <c r="D10" s="13"/>
      <c r="E10" s="14" t="s">
        <v>83</v>
      </c>
      <c r="F10" s="18"/>
      <c r="G10" s="19" t="s">
        <v>84</v>
      </c>
      <c r="H10" s="16" t="s">
        <v>21</v>
      </c>
    </row>
    <row r="11" spans="1:16" ht="114" customHeight="1" x14ac:dyDescent="0.25">
      <c r="A11" s="5">
        <v>44617</v>
      </c>
      <c r="B11" s="17" t="s">
        <v>66</v>
      </c>
      <c r="C11" s="7" t="s">
        <v>85</v>
      </c>
      <c r="D11" s="13"/>
      <c r="E11" s="14" t="s">
        <v>86</v>
      </c>
      <c r="F11" s="18"/>
      <c r="G11" s="19" t="s">
        <v>87</v>
      </c>
      <c r="H11" s="16" t="s">
        <v>21</v>
      </c>
    </row>
    <row r="12" spans="1:16" ht="135" customHeight="1" x14ac:dyDescent="0.25">
      <c r="A12" s="27">
        <v>44629</v>
      </c>
      <c r="B12" s="28" t="s">
        <v>78</v>
      </c>
      <c r="C12" s="29" t="s">
        <v>79</v>
      </c>
      <c r="D12" s="30">
        <v>1</v>
      </c>
      <c r="E12" s="31" t="s">
        <v>89</v>
      </c>
      <c r="F12" s="32" t="s">
        <v>90</v>
      </c>
      <c r="G12" s="33" t="s">
        <v>91</v>
      </c>
      <c r="H12" s="34" t="s">
        <v>21</v>
      </c>
      <c r="I12">
        <v>4</v>
      </c>
    </row>
    <row r="13" spans="1:16" s="67" customFormat="1" ht="114" customHeight="1" x14ac:dyDescent="0.25">
      <c r="A13" s="68">
        <v>44635</v>
      </c>
      <c r="B13" s="69" t="s">
        <v>92</v>
      </c>
      <c r="C13" s="70" t="s">
        <v>69</v>
      </c>
      <c r="D13" s="71">
        <v>17</v>
      </c>
      <c r="E13" s="72" t="s">
        <v>93</v>
      </c>
      <c r="F13" s="73" t="s">
        <v>94</v>
      </c>
      <c r="G13" s="74" t="s">
        <v>95</v>
      </c>
      <c r="H13" s="75" t="s">
        <v>21</v>
      </c>
      <c r="I13" s="67">
        <v>5</v>
      </c>
    </row>
    <row r="14" spans="1:16" ht="15.75" thickBot="1" x14ac:dyDescent="0.3">
      <c r="A14" s="20" t="s">
        <v>49</v>
      </c>
      <c r="B14" s="44" t="s">
        <v>88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6"/>
      <c r="N14" s="35" t="s">
        <v>51</v>
      </c>
    </row>
    <row r="15" spans="1:16" ht="24" customHeight="1" thickBot="1" x14ac:dyDescent="0.3">
      <c r="A15" s="21"/>
      <c r="B15" s="21" t="s">
        <v>52</v>
      </c>
      <c r="C15" s="21" t="s">
        <v>53</v>
      </c>
      <c r="D15" s="21" t="s">
        <v>54</v>
      </c>
      <c r="E15" s="21" t="s">
        <v>55</v>
      </c>
      <c r="F15" s="21" t="s">
        <v>56</v>
      </c>
      <c r="G15" s="21" t="s">
        <v>57</v>
      </c>
      <c r="H15" s="21" t="s">
        <v>58</v>
      </c>
      <c r="I15" s="21" t="s">
        <v>59</v>
      </c>
      <c r="J15" s="21" t="s">
        <v>60</v>
      </c>
      <c r="K15" s="21" t="s">
        <v>61</v>
      </c>
      <c r="L15" s="21" t="s">
        <v>62</v>
      </c>
      <c r="M15" s="21" t="s">
        <v>63</v>
      </c>
      <c r="N15" s="36"/>
    </row>
    <row r="16" spans="1:16" x14ac:dyDescent="0.25">
      <c r="A16" s="22" t="s">
        <v>76</v>
      </c>
      <c r="B16" s="23">
        <v>3</v>
      </c>
      <c r="C16" s="23">
        <v>2</v>
      </c>
      <c r="D16" s="23">
        <v>2</v>
      </c>
      <c r="E16" s="23"/>
      <c r="F16" s="23"/>
      <c r="G16" s="23"/>
      <c r="H16" s="23"/>
      <c r="I16" s="23"/>
      <c r="J16" s="23"/>
      <c r="K16" s="23"/>
      <c r="L16" s="23"/>
      <c r="M16" s="23"/>
      <c r="N16" s="24">
        <f>SUM(B16:M16)</f>
        <v>7</v>
      </c>
    </row>
    <row r="17" spans="1:14" x14ac:dyDescent="0.25">
      <c r="A17" s="25" t="s">
        <v>65</v>
      </c>
      <c r="B17" s="12">
        <v>3</v>
      </c>
      <c r="C17" s="12">
        <v>1</v>
      </c>
      <c r="D17" s="12">
        <v>2</v>
      </c>
      <c r="E17" s="12">
        <v>1</v>
      </c>
      <c r="F17" s="12">
        <v>1</v>
      </c>
      <c r="G17" s="12">
        <v>0</v>
      </c>
      <c r="H17" s="12">
        <v>1</v>
      </c>
      <c r="I17" s="12">
        <v>2</v>
      </c>
      <c r="J17" s="12">
        <v>1</v>
      </c>
      <c r="K17" s="12">
        <v>1</v>
      </c>
      <c r="L17" s="12">
        <v>3</v>
      </c>
      <c r="M17" s="12">
        <v>2</v>
      </c>
      <c r="N17" s="26">
        <f>SUM(B17:M17)</f>
        <v>18</v>
      </c>
    </row>
    <row r="35" spans="2:3" x14ac:dyDescent="0.25">
      <c r="B35" s="37"/>
      <c r="C35" s="37"/>
    </row>
  </sheetData>
  <mergeCells count="15">
    <mergeCell ref="N14:N15"/>
    <mergeCell ref="B35:C35"/>
    <mergeCell ref="B14:M14"/>
    <mergeCell ref="A1:H1"/>
    <mergeCell ref="A2:H2"/>
    <mergeCell ref="A4:A5"/>
    <mergeCell ref="B4:B5"/>
    <mergeCell ref="C4:C5"/>
    <mergeCell ref="E4:E5"/>
    <mergeCell ref="F4:F5"/>
    <mergeCell ref="G4:G5"/>
    <mergeCell ref="H4:H5"/>
    <mergeCell ref="A9:A10"/>
    <mergeCell ref="B9:B10"/>
    <mergeCell ref="C9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QAQC BCN</cp:lastModifiedBy>
  <dcterms:created xsi:type="dcterms:W3CDTF">2022-02-07T04:04:04Z</dcterms:created>
  <dcterms:modified xsi:type="dcterms:W3CDTF">2022-04-11T09:07:41Z</dcterms:modified>
</cp:coreProperties>
</file>