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codeName="ThisWorkbook" defaultThemeVersion="166925"/>
  <mc:AlternateContent xmlns:mc="http://schemas.openxmlformats.org/markup-compatibility/2006">
    <mc:Choice Requires="x15">
      <x15ac:absPath xmlns:x15ac="http://schemas.microsoft.com/office/spreadsheetml/2010/11/ac" url="G:\.shortcut-targets-by-id\1H5xhKQgnCiuCimvTbie0A-D-IDLdqN61\FSSC\FSSC\Sasaran Keamanan Pangan\2023\"/>
    </mc:Choice>
  </mc:AlternateContent>
  <xr:revisionPtr revIDLastSave="0" documentId="8_{E66B525C-4BF8-4766-BDAF-19380B4233B7}" xr6:coauthVersionLast="47" xr6:coauthVersionMax="47" xr10:uidLastSave="{00000000-0000-0000-0000-000000000000}"/>
  <bookViews>
    <workbookView xWindow="-120" yWindow="-120" windowWidth="21840" windowHeight="13140" activeTab="2" xr2:uid="{00000000-000D-0000-FFFF-FFFF00000000}"/>
  </bookViews>
  <sheets>
    <sheet name="2021" sheetId="1" r:id="rId1"/>
    <sheet name="2022" sheetId="2" r:id="rId2"/>
    <sheet name="2023" sheetId="6" r:id="rId3"/>
  </sheets>
  <definedNames>
    <definedName name="_xlnm._FilterDatabase" localSheetId="1" hidden="1">'2022'!$A$4:$N$36</definedName>
    <definedName name="_xlnm._FilterDatabase" localSheetId="2" hidden="1">'2023'!$A$4:$M$26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6" i="2" l="1"/>
  <c r="N35" i="2"/>
  <c r="N18" i="1"/>
  <c r="N17" i="1"/>
</calcChain>
</file>

<file path=xl/sharedStrings.xml><?xml version="1.0" encoding="utf-8"?>
<sst xmlns="http://schemas.openxmlformats.org/spreadsheetml/2006/main" count="412" uniqueCount="272">
  <si>
    <t>LAPORAN KOMPLAIN CUSTOMER PT BERKAT CAHAYA NOVENA</t>
  </si>
  <si>
    <t>PERIODE 2021</t>
  </si>
  <si>
    <t>Hari/ Tanggal</t>
  </si>
  <si>
    <t>Customer</t>
  </si>
  <si>
    <t>Nama Produk</t>
  </si>
  <si>
    <t>Quantity</t>
  </si>
  <si>
    <t>Komplain</t>
  </si>
  <si>
    <t>Hasil Investigasi</t>
  </si>
  <si>
    <t>Corrective Action</t>
  </si>
  <si>
    <t>Status</t>
  </si>
  <si>
    <t>sak</t>
  </si>
  <si>
    <t>PT. Dagsap Endura Eatore</t>
  </si>
  <si>
    <t>MS 100 B Dp 02</t>
  </si>
  <si>
    <t>2 Sak</t>
  </si>
  <si>
    <t>Ditemukan benda asing plastik putih</t>
  </si>
  <si>
    <t>Open</t>
  </si>
  <si>
    <t>Wirontono</t>
  </si>
  <si>
    <t>WS 700 FR</t>
  </si>
  <si>
    <t>Bentuk produk yang tidak runcing</t>
  </si>
  <si>
    <t>Tidak stabilnya proses rounding sehingga gas dalam adonan tidak banyak yang terbuang dan tidak terbentuknya serat panjang</t>
  </si>
  <si>
    <t>Proses rounding dengan memipihkan secara merata pada setiap potongan adonan</t>
  </si>
  <si>
    <t>Done</t>
  </si>
  <si>
    <t>Banyak potongan roti</t>
  </si>
  <si>
    <t>Adanya potongan kecil untuk melengkapi jumlah bobot produk</t>
  </si>
  <si>
    <t>Melakukan penyesuaian terhadap berat produk WS 700 FR</t>
  </si>
  <si>
    <t>Multirasa</t>
  </si>
  <si>
    <t>OS 300 FR</t>
  </si>
  <si>
    <t>Warna produk tidak sesuai</t>
  </si>
  <si>
    <t>Bahan pewarna yang digunakan tidak sesuai</t>
  </si>
  <si>
    <t>Memastikan kembali kesesuaian raw material yang digunakan dengan spesifikasi</t>
  </si>
  <si>
    <t>Adanya kesalahan perbedaan ukuran partikel</t>
  </si>
  <si>
    <t>Miss Komunikasi, produk yang dikirim merupakan produk untuk customer lain</t>
  </si>
  <si>
    <t>Produk yang di tolak akan diretur dengan ukuran partikel sesuai dengan persyaratan
customer yaitu PT Multirasi Nusantara</t>
  </si>
  <si>
    <t>Tidak terdapat label pada kemasan primer</t>
  </si>
  <si>
    <t>Produk OS 300 FR memiliki perlakuan yang berbeda antar customer, yang
mengakibatkan tertukar perlakuan dan tidak konsisten dalam melakukan pelebelan
di kemasan primer</t>
  </si>
  <si>
    <t>Melakukan Breafing kepada team tentang pelebelan untuk produk OS 300 FR
customer PT Multirasa</t>
  </si>
  <si>
    <t>Dagsap</t>
  </si>
  <si>
    <t>Kemasan primer produk tersealing</t>
  </si>
  <si>
    <t>Uji coba sealing pada kemasan produk</t>
  </si>
  <si>
    <t>Kemasan primer produk untuk Dagsap tidak akan disealing</t>
  </si>
  <si>
    <t>CPB</t>
  </si>
  <si>
    <t>YS 100</t>
  </si>
  <si>
    <t>Temuan bintik hitam pada partikel breadcrumbs</t>
  </si>
  <si>
    <t>Kondisi mesin DD 1</t>
  </si>
  <si>
    <t>Dilakukan pengeringan di mesin DD3</t>
  </si>
  <si>
    <t>MS 100 B</t>
  </si>
  <si>
    <t>Material breadcrumbs menggumpal dan memiliki aroma yang  tidak normal</t>
  </si>
  <si>
    <t>Frame screen gumpalan pada mesin DD1 tidak presisi</t>
  </si>
  <si>
    <t>Memodifikasi frame screen gumpalan pada mesin DD1</t>
  </si>
  <si>
    <t>TAHUN</t>
  </si>
  <si>
    <t xml:space="preserve"> </t>
  </si>
  <si>
    <t>total</t>
  </si>
  <si>
    <t>Januari</t>
  </si>
  <si>
    <t>Februari</t>
  </si>
  <si>
    <t>Maret</t>
  </si>
  <si>
    <t>April</t>
  </si>
  <si>
    <t>Mei</t>
  </si>
  <si>
    <t>Juni</t>
  </si>
  <si>
    <t>Juli</t>
  </si>
  <si>
    <t>Agustus</t>
  </si>
  <si>
    <t>September</t>
  </si>
  <si>
    <t>Oktober</t>
  </si>
  <si>
    <t>November</t>
  </si>
  <si>
    <t>Desember</t>
  </si>
  <si>
    <t>Temuan 2020</t>
  </si>
  <si>
    <t>Temuan 2021</t>
  </si>
  <si>
    <t>DFI</t>
  </si>
  <si>
    <t>Mamasuka Orange</t>
  </si>
  <si>
    <t>Porto</t>
  </si>
  <si>
    <t>MS 100 M</t>
  </si>
  <si>
    <t>Material Breadcrumbs Terlalu Halus</t>
  </si>
  <si>
    <t>Temuan benda asing berupa bijih plastik putih dan silicon</t>
  </si>
  <si>
    <t>Ukuran partikel breadcrumbs lebih kecil dari ukuran sampel</t>
  </si>
  <si>
    <t>Ukuran screen yang digunakan mesin DD tidak sesuai/tidak akurat dengan yang seharusnya</t>
  </si>
  <si>
    <t>Harus distandarkan ulang setiap label ukuran screen dengan ukuran sebenarnya</t>
  </si>
  <si>
    <t>benda asing berupa bijih plastik berasal dari kemasan sekunder yang digunakan pada produk</t>
  </si>
  <si>
    <t>Temuan 2022</t>
  </si>
  <si>
    <t>PERIODE 2022</t>
  </si>
  <si>
    <t>Tamron</t>
  </si>
  <si>
    <t>WS 303 FR</t>
  </si>
  <si>
    <t>TPC untuk pengiriman terakhir diatas ambang batas</t>
  </si>
  <si>
    <t>Preventive Action</t>
  </si>
  <si>
    <t>Mempercepat proses pengerjaan produk fresh</t>
  </si>
  <si>
    <t>Mamasuka Mix</t>
  </si>
  <si>
    <t>Label expired tidak sesuai</t>
  </si>
  <si>
    <t>Verifikasi ulang untuk setiap hasil cetakan</t>
  </si>
  <si>
    <t>.</t>
  </si>
  <si>
    <t xml:space="preserve">1. Ditemukan helai rambut
2. Ditemukan partikel hitam </t>
  </si>
  <si>
    <t>1. Helai rambut berasal dari practice personal hygiene yang kurang tepat
2. Partikel hitam kemungkinan bagian dari roti gosong yang tidak  di triming secara sempurna</t>
  </si>
  <si>
    <t>1. Melakukan training kembali kpd operator fresh BC terkait personal hygiene yg tepat
2. Melakukan briefing kpd operator triming terkait bagian roti yang harus di triming</t>
  </si>
  <si>
    <t>Porto Food Indonesia</t>
  </si>
  <si>
    <t>Temuan kontaminasi partikel white BC</t>
  </si>
  <si>
    <t>Adanya kontaminasi warna dari produk white BC pada loyang EB</t>
  </si>
  <si>
    <t>1. Melakukan pembersihan secara menyeluruh pada loyang saat ada pergantian produk
2. Penetapan dedicated operator untuk melakukan cleaning loyang EB setiap shift</t>
  </si>
  <si>
    <t>Central Pertiwi Bahari</t>
  </si>
  <si>
    <t>Temuan Bintik Hitam</t>
  </si>
  <si>
    <t>Roti belum tertriming secara sempurna sehingga bagian yang hitam terbawa menjadi produk</t>
  </si>
  <si>
    <t>1. Melakukan triming lebih detail terutama bagian yang hitam
2. Verikasi cek ulang produk hasill triming</t>
  </si>
  <si>
    <t>29 Juni 2022</t>
  </si>
  <si>
    <t>Malindo</t>
  </si>
  <si>
    <t>MS 100 D dan MS 100 E</t>
  </si>
  <si>
    <t>Produk Berkutu</t>
  </si>
  <si>
    <t>23 Juni 2022</t>
  </si>
  <si>
    <t>MamaSuka White</t>
  </si>
  <si>
    <t>7 Sak</t>
  </si>
  <si>
    <t>28 Juni 2022</t>
  </si>
  <si>
    <t>Bentuk Partikel tidak diamond shape</t>
  </si>
  <si>
    <t>ditemukan helaian rambut</t>
  </si>
  <si>
    <t>BC berbentuk gumpalan</t>
  </si>
  <si>
    <t>15 Juni 2022</t>
  </si>
  <si>
    <t>Cup bob</t>
  </si>
  <si>
    <t>Berkutu</t>
  </si>
  <si>
    <t>Retain sample dengan kode batch yang di berikan oleh malindo tidak ada indikasi adanya temuan kutu</t>
  </si>
  <si>
    <t xml:space="preserve">Helai rambut berasal dari dalam kemasan premier </t>
  </si>
  <si>
    <t>1. melakukan komplain dan audit supplier kemasan
2. menggunakan roll baju untuk menangkap helaiaan rambut</t>
  </si>
  <si>
    <t xml:space="preserve">adanya masuknya air kedalam kemasan yang menyebabkan terjadinya gumpalan
</t>
  </si>
  <si>
    <t>Dilakukan investigaasi 
1. Dilakukan thowing selama lebih dari 8 jam dan hasilnya tidak ada produk yang menggumpal seperti adonan
2. Dilakukan pengecekan terhadap produk yang berada tepat di bawah ac yang mengakibatkan adanya air yang membasahi kemasan setelah dilihat tidak ada gumpalan yang terbentuk pada dalam produk
3. Melakukan pembolongan pada produk dengan menusuk kemasan dengan tusukan termometer dan kemudian di thowing lebih dari 8 jam dan hasilnya tidak ada temuan gumpalan pada produk</t>
  </si>
  <si>
    <t>Produk dari cupbop yang berkutu ditem</t>
  </si>
  <si>
    <t>WS 301</t>
  </si>
  <si>
    <t>Nyamuk dan serangga</t>
  </si>
  <si>
    <t>Belum ada barang bukti dari temuan tersebut</t>
  </si>
  <si>
    <t>Memastikan produk selalu tertutup, bahan baku maupun produk jadi</t>
  </si>
  <si>
    <t>28 Sep 2022</t>
  </si>
  <si>
    <t>9 April 2023</t>
  </si>
  <si>
    <t>1. Retain Sample tidak di temukan kutu
2. Tanggal pengiriman bertepatan dengan temuan kutu WS 301</t>
  </si>
  <si>
    <t>Melakukan fumigasi di area Finish produks</t>
  </si>
  <si>
    <t>1. Produk menggunakan mesin roaunding yang masih dalam trial</t>
  </si>
  <si>
    <t>1. Ditetapkan rounding menggunakan manual sementara. Selagi mesin masih dalam trial
2. Memastikan kecukupan waktu stalling cukup</t>
  </si>
  <si>
    <t>SGF</t>
  </si>
  <si>
    <t>OS 100 B</t>
  </si>
  <si>
    <t>Proses pengeringan produk menggunakan settingan mesin pengering yang kurang tepat yang mengakibatkan timbulnya bintik hitam</t>
  </si>
  <si>
    <t>1. Memastikan pengaturan mesin pengering dijalankan sesuai dengan kapasitas mesin
2. Melakukan pengecekan berkala pengaturan mesin saat proses pengeringan dilakukan</t>
  </si>
  <si>
    <t>Ongoing</t>
  </si>
  <si>
    <t>Serafood</t>
  </si>
  <si>
    <t>OS 100 I</t>
  </si>
  <si>
    <t>1 Sak</t>
  </si>
  <si>
    <t>Ditemukan gumpalan pada produk bredcrumbs</t>
  </si>
  <si>
    <t>Gumpalan berasal dari air yang masuk saat hujan ke sela sela jahitan pada saat
pengiriman melalui sela sela pintu mobil expedisi</t>
  </si>
  <si>
    <t>Melakukan penutupan produk dengan plastik pada seluruh sisi agar jika ada tetesan air yang masuk tidak langsung mengenai
produk</t>
  </si>
  <si>
    <t>Macroprima</t>
  </si>
  <si>
    <t>MS 100 B Dp-02</t>
  </si>
  <si>
    <t>37 Sak</t>
  </si>
  <si>
    <t>Ditemukan gumpalan pada produk bredcrumbs
produk</t>
  </si>
  <si>
    <t>gumpalan berasal dari air yang masuk yang masuk ke sela sela jahitan pada saat bongkar dalam
kondisi hujan</t>
  </si>
  <si>
    <t>MS 100 B DP 02</t>
  </si>
  <si>
    <t>Kemasan produk sobek</t>
  </si>
  <si>
    <t>Melakukan cek ulang kemasan produk yang akan dikirimkan</t>
  </si>
  <si>
    <t>Kemasan produk sobek terkena sudut yang tajam saat proses penyimpanan</t>
  </si>
  <si>
    <t>Suri Tani Pemuka</t>
  </si>
  <si>
    <t>Bentuk roti bantet atau kempis</t>
  </si>
  <si>
    <r>
      <t xml:space="preserve">waktu blast freezer selama 1 jam dengan suhu 7-15 </t>
    </r>
    <r>
      <rPr>
        <b/>
        <vertAlign val="superscript"/>
        <sz val="14"/>
        <color indexed="8"/>
        <rFont val="Garamond"/>
        <family val="1"/>
      </rPr>
      <t>O</t>
    </r>
    <r>
      <rPr>
        <b/>
        <sz val="14"/>
        <color indexed="8"/>
        <rFont val="Garamond"/>
        <family val="1"/>
      </rPr>
      <t>C yang menyebabkan ketika disimpan di cooling freezer dengan bertumpuk merubah roti menjadi kempis</t>
    </r>
  </si>
  <si>
    <r>
      <t xml:space="preserve">-Waktu blast minimal 2 jam
-Verifikasi suhu roti setelah setelah blast minimal 0 </t>
    </r>
    <r>
      <rPr>
        <b/>
        <vertAlign val="superscript"/>
        <sz val="16"/>
        <color theme="1"/>
        <rFont val="Garamond"/>
        <family val="1"/>
      </rPr>
      <t>o</t>
    </r>
    <r>
      <rPr>
        <b/>
        <sz val="16"/>
        <color theme="1"/>
        <rFont val="Garamond"/>
        <family val="1"/>
      </rPr>
      <t xml:space="preserve">C  </t>
    </r>
  </si>
  <si>
    <t>MS 100 BDp-02</t>
  </si>
  <si>
    <t>Temuan jamur pada kemasan produk ms 100 b</t>
  </si>
  <si>
    <t>Tetesan air yang masuk kedalam kemasan dan menumbuhkan jamur pada kemasan produk</t>
  </si>
  <si>
    <t xml:space="preserve">-Memastikan kendaraan mobil pengiriman tidak ada kebocoran
-Melapisi produk dengan plastik tambahan  </t>
  </si>
  <si>
    <t>Seal double pada kemasan produk</t>
  </si>
  <si>
    <t>Kesalahan informasi antara produk WS 700 dgn WS 700 FR code Uni</t>
  </si>
  <si>
    <t>Memastikan ulang hasil sealer pada kemasan produk WS 700 FR</t>
  </si>
  <si>
    <t>Wonokoyo</t>
  </si>
  <si>
    <t>MS 100 FC</t>
  </si>
  <si>
    <t>Ada sisi/ celah pada bagian list screen penahan gumpalan</t>
  </si>
  <si>
    <t xml:space="preserve">Melakukan modifikasi pada konstruksi screen penahan gumpalan </t>
  </si>
  <si>
    <t>Produk Breadcrumbs Berjamur (Produk menggumpal)</t>
  </si>
  <si>
    <t>Produk Breadcrumbs Menggumpal</t>
  </si>
  <si>
    <t>Temuan benda asing mirip kawat</t>
  </si>
  <si>
    <t>Benda asing mirip kawat berasal dari mesin baking yang terjatuh ke produk</t>
  </si>
  <si>
    <t>Melakukan perbaikan dan modifikasi pada mesin baking</t>
  </si>
  <si>
    <t>Temuan benang</t>
  </si>
  <si>
    <t>Potongan benang berasal dari sisa potongan benang tepung</t>
  </si>
  <si>
    <t>Melakukan relayout dan training ulang terkait pembukaan benang</t>
  </si>
  <si>
    <t>Tidak ada komplain</t>
  </si>
  <si>
    <t>Ditemukannya lebih dari 2 potongan roti dan ada remahan roti</t>
  </si>
  <si>
    <t>Breadcrumbs WS 700 FR</t>
  </si>
  <si>
    <t>SURITANI PEMUKA</t>
  </si>
  <si>
    <t>1 sak yang dikirimkan ke PT suritani berjumah 6 kg, sedangan 1 bongkah roti berat tidak sempai 3kg maka dari itu pada kemasan ws 700 fr ini tidak bisa 2 bohkah dalam 1 sak karena memiliki kekurangan, maka dari itu kami menampahkan beberapa potongan untuk menggenapkan berat dan ukuran kemasan</t>
  </si>
  <si>
    <t>Melakukan koordinasi dengan pihak terkait internal kami mengenai saolusi ini dan melakukan komunikasi dengan pelanggan terkait permintaan khusus ini</t>
  </si>
  <si>
    <t>Hasil koordinasi para pihak (BCN &amp; Pelanggan akan menjadi dasar/landasan kami untuk melakukan perbaikan</t>
  </si>
  <si>
    <t>Produk kurang renyah</t>
  </si>
  <si>
    <t>Breadcrumbs OBC 100</t>
  </si>
  <si>
    <t>1,352 Ton</t>
  </si>
  <si>
    <t>CHARON POKHPAN</t>
  </si>
  <si>
    <t>Kadar air pada produk OBC 100 memiliki kadar air 9 % secara internal kami masuk spesificasi (Maks 10 %) namun keberterimaan customer produk agak kurang renyah</t>
  </si>
  <si>
    <t>Melakukan diskusi dengan berbagai pihak internal (QC, Produksi, RnD) mengenai komplain dari pihak customor</t>
  </si>
  <si>
    <t>Melakukan perubahan spesificasi Kadar Air dari yang sebelumnya maks 10 % menjadi maks 8,5 %. maksimal 8,5 % ini diambil dari Kadar Air pengiriman sebelumnya yaitu kurang dari 8.5 %</t>
  </si>
  <si>
    <t>CoA yang dikirimkan tidak sesuai dengan fisik produk yang dikirimkan</t>
  </si>
  <si>
    <t>Kurang teliti saat cetak CoA</t>
  </si>
  <si>
    <t>Mengirimkan CoA yang sesuai dengan fisik produk pengiriman</t>
  </si>
  <si>
    <t>melakukan cetak coa sesuai dengan data yang diberikan oleh team FPS</t>
  </si>
  <si>
    <t>Produk Tidak Renyah</t>
  </si>
  <si>
    <t>PORTO FOOD INDONESIA</t>
  </si>
  <si>
    <t>Produk kurang renyah KA tinggi</t>
  </si>
  <si>
    <t>Menurunkan standar internal dari 5 - 6,5 % ke 4 %</t>
  </si>
  <si>
    <t>1. Menetapkan standar KA internal MS 100 M 4 %</t>
  </si>
  <si>
    <t>Produk cenderung lebih kecil dari target</t>
  </si>
  <si>
    <t>WS 700 FR (12,12,17,17</t>
  </si>
  <si>
    <t>CREATIVE CULINARY</t>
  </si>
  <si>
    <t>Produk yang di produksi oleh PT BCN sudah sesuai standar</t>
  </si>
  <si>
    <t>Melakukan koordinasi dengan pihak customer mengenai ukuran produk yang diinginkan</t>
  </si>
  <si>
    <t>Merubah screen WS 700 FR dari 12-12-17-17 ke 12-17-17-17</t>
  </si>
  <si>
    <t>TERDAPAT ULAT / BELATUNG PADA PRODUK</t>
  </si>
  <si>
    <t>CUPBOB</t>
  </si>
  <si>
    <t>Ulat terindikasi dari penyimpanan gudang customor yang tidak hygiene</t>
  </si>
  <si>
    <t>Melakukan koordinasi dengan pihak customor mengenai permasalahan ini</t>
  </si>
  <si>
    <t>rencana tindakan pencegahan akan dilakukan penutupan kemasan dengan metode sealed</t>
  </si>
  <si>
    <t>PERIODE 2023</t>
  </si>
  <si>
    <t>Temuan 2023</t>
  </si>
  <si>
    <t>PT DFI</t>
  </si>
  <si>
    <t>PT Raja Roti</t>
  </si>
  <si>
    <t xml:space="preserve">Terdapat produk BCN yang terlabel mamasuka orange milik PT Raja Rotri </t>
  </si>
  <si>
    <t>Terdapat Beberapa lembar dari 1pack label milik PT raja roti di lable BCN</t>
  </si>
  <si>
    <t>Melakukan verifikasi ke seluruh kemasan mamasuka</t>
  </si>
  <si>
    <t>Komplain ke supplier labble</t>
  </si>
  <si>
    <t>MamaSukaOranga</t>
  </si>
  <si>
    <t>Mamasuka Mix HDT</t>
  </si>
  <si>
    <t>Kadar air outspeck</t>
  </si>
  <si>
    <t>Perbedaan hasil pengukuran lab bcn 5% dan lab DFI 8%</t>
  </si>
  <si>
    <t>meeting,koordinasi terkait perbedaan ini</t>
  </si>
  <si>
    <t>menurunkan standar internal KA ke 4-5%</t>
  </si>
  <si>
    <t>MamaSuka Orange</t>
  </si>
  <si>
    <t>Berjamur</t>
  </si>
  <si>
    <t>Air Masuk pada selah selah jahitan</t>
  </si>
  <si>
    <t>Dipastikan penyimpanan di tempat customor selalu dalam keadaan bersih dan kering di tempatkan pada suhu ruang jika produk akan di loading/unloading pastikan air tidak masuk kedalam produk</t>
  </si>
  <si>
    <t>PT Porto Food Indonesia</t>
  </si>
  <si>
    <t>26 Maret 2023</t>
  </si>
  <si>
    <t>28 Maret 2023</t>
  </si>
  <si>
    <t>Di temukan scoop</t>
  </si>
  <si>
    <t>Centong yang terdapat pada area packing kami</t>
  </si>
  <si>
    <t>melakukan training dan breafing terkait keamanan pangan khususnya penanganan MD</t>
  </si>
  <si>
    <t>melakukan verifikasi jumlah scope</t>
  </si>
  <si>
    <t>PT Tamron</t>
  </si>
  <si>
    <t>Ditemukan benda asing mirip kawat</t>
  </si>
  <si>
    <t xml:space="preserve">benda asing yang mirip kawat merupakan benda yang terdapat di atas pintu stalling </t>
  </si>
  <si>
    <t>Pemindaan area fresh breadcrumbs dan pengadaan MD yang lebih sensitif</t>
  </si>
  <si>
    <t>done</t>
  </si>
  <si>
    <t>PT Belfoods</t>
  </si>
  <si>
    <t>OBC 100</t>
  </si>
  <si>
    <t>Tidak FEFO</t>
  </si>
  <si>
    <t>Dikarenakan gudang penuh sehingga pengambilan produk obc 100 untuk di kirim tidak FEFO</t>
  </si>
  <si>
    <t>meeting,koordinasi dengan pihak belfoods</t>
  </si>
  <si>
    <t>memastikan pengiriman produk FEFO walaupun kondisi gudang penuh</t>
  </si>
  <si>
    <t>Close</t>
  </si>
  <si>
    <t>11 Mei 2023</t>
  </si>
  <si>
    <t>17 Mei 2023</t>
  </si>
  <si>
    <t>23 Mei 2023</t>
  </si>
  <si>
    <t>24 Mei 2023</t>
  </si>
  <si>
    <t>PT Multirasa</t>
  </si>
  <si>
    <t>OS 300 FR (Sc 5)</t>
  </si>
  <si>
    <t>Terdapat Produk White Terkirim Ke Customer</t>
  </si>
  <si>
    <t>PT Creative Culinary</t>
  </si>
  <si>
    <t>WS 700 FR (12,17,17,17)</t>
  </si>
  <si>
    <t>Nama Produsen di Label Kemasan Primer dan di Label Kemasan Sekunder Berbeda</t>
  </si>
  <si>
    <t>Kesalahan Pada Percetakan Label</t>
  </si>
  <si>
    <t>Koordinasi Dengan Pihak Customer , Melakukan Pengecekan Terhadap Sisa Label yang Ada</t>
  </si>
  <si>
    <t>Melakukan Pengecekan Terhadap Label dan Memastikan agar Tidak Ada Kesalahan Pengetikan Pada Label</t>
  </si>
  <si>
    <t>PT So Good Food</t>
  </si>
  <si>
    <t>500 Sak</t>
  </si>
  <si>
    <t>Bintik Hitam</t>
  </si>
  <si>
    <t>Error pada Metode Pengecekan dengan Lakban</t>
  </si>
  <si>
    <t>Melakukan Pengecekan Bintik Hitam dengan Metode Lakban dan Metode Tabur</t>
  </si>
  <si>
    <t>Melakukan Penggantian Barang</t>
  </si>
  <si>
    <t>PT Phalosari</t>
  </si>
  <si>
    <t>46 Sak</t>
  </si>
  <si>
    <t>Warna Pudar</t>
  </si>
  <si>
    <t>PT Bumi Menara Internusa</t>
  </si>
  <si>
    <t>WS 600 FR</t>
  </si>
  <si>
    <t>825 Sak</t>
  </si>
  <si>
    <t>Qty Per Lot Aktual tidak Sesuai dengan Qty Per Lot di Surat Jalan</t>
  </si>
  <si>
    <t>Human Error dikarenakan Gudang Penuh dan Loading di Malam Hari</t>
  </si>
  <si>
    <t>Melakukan Briefing terhadap Operator</t>
  </si>
  <si>
    <t>Melakukan Verifikasi Qty per lot saat loading agar sesuai dengan Qty Per Lot yang tertera di Surat Jalan</t>
  </si>
  <si>
    <t>5 Juni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</si>
</sst>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
    <numFmt numFmtId="165" formatCode="[$-13809]d\ mmm\ yyyy;@"/>
  </numFmts>
  <fonts count="22" x14ac:knownFonts="1">
    <font>
      <sz val="11"/>
      <color theme="1"/>
      <name val="Calibri"/>
      <family val="2"/>
      <charset val="1"/>
      <scheme val="minor"/>
    </font>
    <font>
      <b/>
      <sz val="20"/>
      <color indexed="8"/>
      <name val="Garamond"/>
      <family val="1"/>
    </font>
    <font>
      <b/>
      <sz val="12"/>
      <color indexed="8"/>
      <name val="Garamond"/>
      <family val="1"/>
    </font>
    <font>
      <b/>
      <sz val="13"/>
      <color indexed="8"/>
      <name val="Garamond"/>
      <family val="1"/>
    </font>
    <font>
      <b/>
      <sz val="11"/>
      <color indexed="8"/>
      <name val="Garamond"/>
      <family val="1"/>
    </font>
    <font>
      <b/>
      <sz val="13"/>
      <color indexed="10"/>
      <name val="Garamond"/>
      <family val="1"/>
    </font>
    <font>
      <b/>
      <sz val="12"/>
      <color theme="1"/>
      <name val="Garamond"/>
      <family val="1"/>
    </font>
    <font>
      <b/>
      <sz val="13"/>
      <color theme="1"/>
      <name val="Garamond"/>
      <family val="1"/>
    </font>
    <font>
      <b/>
      <sz val="11"/>
      <color theme="1"/>
      <name val="Garamond"/>
      <family val="1"/>
    </font>
    <font>
      <b/>
      <sz val="11"/>
      <color theme="1"/>
      <name val="Calibri"/>
      <family val="2"/>
      <scheme val="minor"/>
    </font>
    <font>
      <sz val="11"/>
      <color theme="1"/>
      <name val="Calibri"/>
      <family val="2"/>
      <scheme val="minor"/>
    </font>
    <font>
      <b/>
      <sz val="14"/>
      <color indexed="8"/>
      <name val="Garamond"/>
      <family val="1"/>
    </font>
    <font>
      <b/>
      <sz val="14"/>
      <color indexed="10"/>
      <name val="Garamond"/>
      <family val="1"/>
    </font>
    <font>
      <b/>
      <sz val="14"/>
      <color theme="1"/>
      <name val="Garamond"/>
      <family val="1"/>
    </font>
    <font>
      <b/>
      <sz val="16"/>
      <color indexed="8"/>
      <name val="Garamond"/>
      <family val="1"/>
    </font>
    <font>
      <b/>
      <sz val="16"/>
      <color indexed="10"/>
      <name val="Garamond"/>
      <family val="1"/>
    </font>
    <font>
      <b/>
      <sz val="16"/>
      <color theme="1"/>
      <name val="Garamond"/>
      <family val="1"/>
    </font>
    <font>
      <b/>
      <vertAlign val="superscript"/>
      <sz val="14"/>
      <color indexed="8"/>
      <name val="Garamond"/>
      <family val="1"/>
    </font>
    <font>
      <b/>
      <vertAlign val="superscript"/>
      <sz val="16"/>
      <color theme="1"/>
      <name val="Garamond"/>
      <family val="1"/>
    </font>
    <font>
      <b/>
      <sz val="12"/>
      <color rgb="FFFF0000"/>
      <name val="Garamond"/>
      <family val="1"/>
    </font>
    <font>
      <sz val="12"/>
      <color theme="1"/>
      <name val="Calibri"/>
      <family val="2"/>
      <scheme val="minor"/>
    </font>
    <font>
      <b/>
      <sz val="12"/>
      <color theme="1"/>
      <name val="Calibri"/>
      <family val="2"/>
      <scheme val="minor"/>
    </font>
  </fonts>
  <fills count="10">
    <fill>
      <patternFill patternType="none"/>
    </fill>
    <fill>
      <patternFill patternType="gray125"/>
    </fill>
    <fill>
      <patternFill patternType="solid">
        <fgColor indexed="46"/>
        <bgColor indexed="8"/>
      </patternFill>
    </fill>
    <fill>
      <patternFill patternType="solid">
        <fgColor theme="0"/>
        <bgColor indexed="8"/>
      </patternFill>
    </fill>
    <fill>
      <patternFill patternType="solid">
        <fgColor theme="2" tint="-0.249977111117893"/>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FF00"/>
        <bgColor indexed="64"/>
      </patternFill>
    </fill>
    <fill>
      <patternFill patternType="solid">
        <fgColor rgb="FFFFFF00"/>
        <bgColor indexed="8"/>
      </patternFill>
    </fill>
    <fill>
      <patternFill patternType="solid">
        <fgColor rgb="FFFFFFFF"/>
        <bgColor indexed="64"/>
      </patternFill>
    </fill>
  </fills>
  <borders count="25">
    <border>
      <left/>
      <right/>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style="thin">
        <color indexed="8"/>
      </left>
      <right style="thin">
        <color indexed="8"/>
      </right>
      <top/>
      <bottom/>
      <diagonal/>
    </border>
    <border>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thin">
        <color indexed="8"/>
      </left>
      <right style="thin">
        <color indexed="8"/>
      </right>
      <top/>
      <bottom style="medium">
        <color rgb="FF000000"/>
      </bottom>
      <diagonal/>
    </border>
  </borders>
  <cellStyleXfs count="1">
    <xf numFmtId="0" fontId="0" fillId="0" borderId="0"/>
  </cellStyleXfs>
  <cellXfs count="106">
    <xf numFmtId="0" fontId="0" fillId="0" borderId="0" xfId="0"/>
    <xf numFmtId="164" fontId="1" fillId="0" borderId="0" xfId="0" applyNumberFormat="1" applyFont="1"/>
    <xf numFmtId="0" fontId="1" fillId="0" borderId="0" xfId="0" applyFont="1"/>
    <xf numFmtId="1" fontId="3" fillId="2" borderId="4" xfId="0" applyNumberFormat="1" applyFont="1" applyFill="1" applyBorder="1" applyAlignment="1">
      <alignment horizontal="center" vertical="center" wrapText="1"/>
    </xf>
    <xf numFmtId="1" fontId="5" fillId="2" borderId="5" xfId="0" applyNumberFormat="1" applyFont="1" applyFill="1" applyBorder="1" applyAlignment="1">
      <alignment horizontal="center" vertical="center" wrapText="1"/>
    </xf>
    <xf numFmtId="15" fontId="2" fillId="0" borderId="7" xfId="0" quotePrefix="1" applyNumberFormat="1" applyFont="1" applyBorder="1" applyAlignment="1">
      <alignment horizontal="center" vertical="center" wrapText="1"/>
    </xf>
    <xf numFmtId="9" fontId="3" fillId="0" borderId="7" xfId="0" applyNumberFormat="1" applyFont="1" applyBorder="1" applyAlignment="1">
      <alignment horizontal="center" vertical="center" wrapText="1"/>
    </xf>
    <xf numFmtId="0" fontId="2" fillId="0" borderId="7" xfId="0" applyFont="1" applyBorder="1" applyAlignment="1">
      <alignment horizontal="center" vertical="center" wrapText="1"/>
    </xf>
    <xf numFmtId="1" fontId="5" fillId="0" borderId="7" xfId="0" applyNumberFormat="1" applyFont="1" applyBorder="1" applyAlignment="1">
      <alignment horizontal="center" vertical="center" wrapText="1"/>
    </xf>
    <xf numFmtId="0" fontId="0" fillId="0" borderId="7" xfId="0" applyBorder="1" applyAlignment="1">
      <alignment horizontal="center" vertical="center" wrapText="1"/>
    </xf>
    <xf numFmtId="1" fontId="3" fillId="3" borderId="7" xfId="0" quotePrefix="1" applyNumberFormat="1" applyFont="1" applyFill="1" applyBorder="1" applyAlignment="1">
      <alignment vertical="center" wrapText="1"/>
    </xf>
    <xf numFmtId="1" fontId="3" fillId="0" borderId="7" xfId="0" quotePrefix="1" applyNumberFormat="1" applyFont="1" applyBorder="1" applyAlignment="1">
      <alignment horizontal="center" vertical="center" wrapText="1"/>
    </xf>
    <xf numFmtId="0" fontId="0" fillId="0" borderId="7" xfId="0" applyBorder="1" applyAlignment="1">
      <alignment horizontal="center" vertical="center"/>
    </xf>
    <xf numFmtId="1" fontId="5" fillId="0" borderId="7" xfId="0" applyNumberFormat="1" applyFont="1" applyBorder="1" applyAlignment="1">
      <alignment vertical="center" wrapText="1"/>
    </xf>
    <xf numFmtId="0" fontId="6" fillId="0" borderId="7" xfId="0" applyFont="1" applyBorder="1" applyAlignment="1">
      <alignment vertical="center" wrapText="1"/>
    </xf>
    <xf numFmtId="0" fontId="7" fillId="0" borderId="7" xfId="0" quotePrefix="1" applyFont="1" applyBorder="1" applyAlignment="1">
      <alignment vertical="center" wrapText="1"/>
    </xf>
    <xf numFmtId="0" fontId="8" fillId="0" borderId="7" xfId="0" applyFont="1" applyBorder="1" applyAlignment="1">
      <alignment vertical="center"/>
    </xf>
    <xf numFmtId="9" fontId="2" fillId="0" borderId="7" xfId="0" applyNumberFormat="1" applyFont="1" applyBorder="1" applyAlignment="1">
      <alignment horizontal="center" vertical="center" wrapText="1"/>
    </xf>
    <xf numFmtId="1" fontId="2" fillId="3" borderId="7" xfId="0" quotePrefix="1" applyNumberFormat="1" applyFont="1" applyFill="1" applyBorder="1" applyAlignment="1">
      <alignment vertical="center" wrapText="1"/>
    </xf>
    <xf numFmtId="0" fontId="6" fillId="0" borderId="7" xfId="0" quotePrefix="1" applyFont="1" applyBorder="1" applyAlignment="1">
      <alignment vertical="center" wrapText="1"/>
    </xf>
    <xf numFmtId="0" fontId="9" fillId="4" borderId="10" xfId="0" applyFont="1" applyFill="1" applyBorder="1" applyAlignment="1">
      <alignment horizontal="center" vertical="center"/>
    </xf>
    <xf numFmtId="0" fontId="9" fillId="6" borderId="15" xfId="0" applyFont="1" applyFill="1" applyBorder="1" applyAlignment="1">
      <alignment horizontal="center" vertical="center"/>
    </xf>
    <xf numFmtId="0" fontId="9" fillId="0" borderId="14" xfId="0" applyFont="1" applyBorder="1" applyAlignment="1">
      <alignment horizontal="center" vertical="center"/>
    </xf>
    <xf numFmtId="0" fontId="0" fillId="0" borderId="8" xfId="0" applyBorder="1" applyAlignment="1">
      <alignment horizontal="center" vertical="center"/>
    </xf>
    <xf numFmtId="0" fontId="10" fillId="5" borderId="17" xfId="0" applyFont="1" applyFill="1" applyBorder="1" applyAlignment="1">
      <alignment horizontal="center" vertical="center"/>
    </xf>
    <xf numFmtId="0" fontId="9" fillId="0" borderId="7" xfId="0" applyFont="1" applyBorder="1" applyAlignment="1">
      <alignment horizontal="center" vertical="center"/>
    </xf>
    <xf numFmtId="0" fontId="10" fillId="5" borderId="7" xfId="0" applyFont="1" applyFill="1" applyBorder="1" applyAlignment="1">
      <alignment horizontal="center" vertical="center"/>
    </xf>
    <xf numFmtId="15" fontId="11" fillId="7" borderId="7" xfId="0" quotePrefix="1" applyNumberFormat="1" applyFont="1" applyFill="1" applyBorder="1" applyAlignment="1">
      <alignment horizontal="center" vertical="center" wrapText="1"/>
    </xf>
    <xf numFmtId="9" fontId="11" fillId="7" borderId="7" xfId="0" applyNumberFormat="1" applyFont="1" applyFill="1" applyBorder="1" applyAlignment="1">
      <alignment horizontal="center" vertical="center" wrapText="1"/>
    </xf>
    <xf numFmtId="0" fontId="11" fillId="7" borderId="7" xfId="0" applyFont="1" applyFill="1" applyBorder="1" applyAlignment="1">
      <alignment horizontal="center" vertical="center" wrapText="1"/>
    </xf>
    <xf numFmtId="1" fontId="12" fillId="7" borderId="7" xfId="0" applyNumberFormat="1" applyFont="1" applyFill="1" applyBorder="1" applyAlignment="1">
      <alignment vertical="center" wrapText="1"/>
    </xf>
    <xf numFmtId="0" fontId="13" fillId="7" borderId="7" xfId="0" applyFont="1" applyFill="1" applyBorder="1" applyAlignment="1">
      <alignment vertical="center" wrapText="1"/>
    </xf>
    <xf numFmtId="1" fontId="11" fillId="8" borderId="7" xfId="0" quotePrefix="1" applyNumberFormat="1" applyFont="1" applyFill="1" applyBorder="1" applyAlignment="1">
      <alignment horizontal="left" vertical="center" wrapText="1"/>
    </xf>
    <xf numFmtId="0" fontId="13" fillId="7" borderId="7" xfId="0" quotePrefix="1" applyFont="1" applyFill="1" applyBorder="1" applyAlignment="1">
      <alignment vertical="center" wrapText="1"/>
    </xf>
    <xf numFmtId="0" fontId="13" fillId="7" borderId="7" xfId="0" applyFont="1" applyFill="1" applyBorder="1" applyAlignment="1">
      <alignment vertical="center"/>
    </xf>
    <xf numFmtId="1" fontId="11" fillId="8" borderId="7" xfId="0" quotePrefix="1" applyNumberFormat="1" applyFont="1" applyFill="1" applyBorder="1" applyAlignment="1">
      <alignment vertical="center" wrapText="1"/>
    </xf>
    <xf numFmtId="15" fontId="2" fillId="0" borderId="8" xfId="0" quotePrefix="1" applyNumberFormat="1" applyFont="1" applyBorder="1" applyAlignment="1">
      <alignment horizontal="center" vertical="center" wrapText="1"/>
    </xf>
    <xf numFmtId="9" fontId="2" fillId="0" borderId="8" xfId="0" applyNumberFormat="1" applyFont="1" applyBorder="1" applyAlignment="1">
      <alignment horizontal="center" vertical="center" wrapText="1"/>
    </xf>
    <xf numFmtId="0" fontId="2" fillId="0" borderId="8" xfId="0" applyFont="1" applyBorder="1" applyAlignment="1">
      <alignment horizontal="center" vertical="center" wrapText="1"/>
    </xf>
    <xf numFmtId="15" fontId="14" fillId="7" borderId="7" xfId="0" quotePrefix="1" applyNumberFormat="1" applyFont="1" applyFill="1" applyBorder="1" applyAlignment="1">
      <alignment horizontal="center" vertical="center" wrapText="1"/>
    </xf>
    <xf numFmtId="9" fontId="14" fillId="7" borderId="7" xfId="0" applyNumberFormat="1" applyFont="1" applyFill="1" applyBorder="1" applyAlignment="1">
      <alignment horizontal="center" vertical="center" wrapText="1"/>
    </xf>
    <xf numFmtId="0" fontId="14" fillId="7" borderId="7" xfId="0" applyFont="1" applyFill="1" applyBorder="1" applyAlignment="1">
      <alignment horizontal="center" vertical="center" wrapText="1"/>
    </xf>
    <xf numFmtId="1" fontId="15" fillId="7" borderId="7" xfId="0" applyNumberFormat="1" applyFont="1" applyFill="1" applyBorder="1" applyAlignment="1">
      <alignment vertical="center" wrapText="1"/>
    </xf>
    <xf numFmtId="0" fontId="16" fillId="7" borderId="7" xfId="0" applyFont="1" applyFill="1" applyBorder="1" applyAlignment="1">
      <alignment vertical="center" wrapText="1"/>
    </xf>
    <xf numFmtId="1" fontId="14" fillId="8" borderId="7" xfId="0" quotePrefix="1" applyNumberFormat="1" applyFont="1" applyFill="1" applyBorder="1" applyAlignment="1">
      <alignment vertical="center" wrapText="1"/>
    </xf>
    <xf numFmtId="0" fontId="16" fillId="7" borderId="7" xfId="0" quotePrefix="1" applyFont="1" applyFill="1" applyBorder="1" applyAlignment="1">
      <alignment vertical="center" wrapText="1"/>
    </xf>
    <xf numFmtId="0" fontId="16" fillId="7" borderId="7" xfId="0" applyFont="1" applyFill="1" applyBorder="1" applyAlignment="1">
      <alignment vertical="center"/>
    </xf>
    <xf numFmtId="9" fontId="14" fillId="7" borderId="9" xfId="0" applyNumberFormat="1" applyFont="1" applyFill="1" applyBorder="1" applyAlignment="1">
      <alignment horizontal="center" vertical="center" wrapText="1"/>
    </xf>
    <xf numFmtId="1" fontId="15" fillId="7" borderId="9" xfId="0" applyNumberFormat="1" applyFont="1" applyFill="1" applyBorder="1" applyAlignment="1">
      <alignment horizontal="center" vertical="center" wrapText="1"/>
    </xf>
    <xf numFmtId="1" fontId="15" fillId="7" borderId="9" xfId="0" quotePrefix="1" applyNumberFormat="1" applyFont="1" applyFill="1" applyBorder="1" applyAlignment="1">
      <alignment horizontal="center" vertical="center" wrapText="1"/>
    </xf>
    <xf numFmtId="15" fontId="14" fillId="7" borderId="7" xfId="0" quotePrefix="1" applyNumberFormat="1" applyFont="1" applyFill="1" applyBorder="1" applyAlignment="1">
      <alignment vertical="center" wrapText="1"/>
    </xf>
    <xf numFmtId="9" fontId="14" fillId="7" borderId="9" xfId="0" applyNumberFormat="1" applyFont="1" applyFill="1" applyBorder="1" applyAlignment="1">
      <alignment vertical="center" wrapText="1"/>
    </xf>
    <xf numFmtId="1" fontId="15" fillId="7" borderId="7" xfId="0" quotePrefix="1" applyNumberFormat="1" applyFont="1" applyFill="1" applyBorder="1" applyAlignment="1">
      <alignment vertical="center" wrapText="1"/>
    </xf>
    <xf numFmtId="9" fontId="14" fillId="7" borderId="7" xfId="0" applyNumberFormat="1" applyFont="1" applyFill="1" applyBorder="1" applyAlignment="1">
      <alignment vertical="center" wrapText="1"/>
    </xf>
    <xf numFmtId="1" fontId="15" fillId="7" borderId="7" xfId="0" quotePrefix="1" applyNumberFormat="1" applyFont="1" applyFill="1" applyBorder="1" applyAlignment="1">
      <alignment horizontal="center" vertical="center" wrapText="1"/>
    </xf>
    <xf numFmtId="0" fontId="6" fillId="0" borderId="22" xfId="0" applyFont="1" applyBorder="1" applyAlignment="1">
      <alignment horizontal="center" vertical="center" wrapText="1"/>
    </xf>
    <xf numFmtId="15" fontId="6" fillId="0" borderId="22" xfId="0" applyNumberFormat="1" applyFont="1" applyBorder="1" applyAlignment="1">
      <alignment horizontal="center" vertical="center" wrapText="1"/>
    </xf>
    <xf numFmtId="0" fontId="19" fillId="0" borderId="22" xfId="0" applyFont="1" applyBorder="1" applyAlignment="1">
      <alignment horizontal="center" vertical="center" wrapText="1"/>
    </xf>
    <xf numFmtId="0" fontId="6" fillId="9" borderId="22" xfId="0" applyFont="1" applyFill="1" applyBorder="1" applyAlignment="1">
      <alignment horizontal="center" vertical="center" wrapText="1"/>
    </xf>
    <xf numFmtId="0" fontId="6" fillId="9" borderId="23" xfId="0" applyFont="1" applyFill="1" applyBorder="1" applyAlignment="1">
      <alignment horizontal="center" vertical="center" wrapText="1"/>
    </xf>
    <xf numFmtId="15" fontId="6" fillId="9" borderId="23" xfId="0" applyNumberFormat="1" applyFont="1" applyFill="1" applyBorder="1" applyAlignment="1">
      <alignment horizontal="center" vertical="center" wrapText="1"/>
    </xf>
    <xf numFmtId="0" fontId="19" fillId="9" borderId="23" xfId="0" applyFont="1" applyFill="1" applyBorder="1" applyAlignment="1">
      <alignment horizontal="center" vertical="center" wrapText="1"/>
    </xf>
    <xf numFmtId="0" fontId="6" fillId="0" borderId="23" xfId="0" applyFont="1" applyBorder="1" applyAlignment="1">
      <alignment horizontal="center" vertical="center" wrapText="1"/>
    </xf>
    <xf numFmtId="0" fontId="20" fillId="0" borderId="23" xfId="0" applyFont="1" applyBorder="1" applyAlignment="1">
      <alignment horizontal="center" vertical="center" wrapText="1"/>
    </xf>
    <xf numFmtId="0" fontId="10" fillId="0" borderId="23" xfId="0" applyFont="1" applyBorder="1" applyAlignment="1">
      <alignment horizontal="center" vertical="center" wrapText="1"/>
    </xf>
    <xf numFmtId="15" fontId="6" fillId="0" borderId="23" xfId="0" applyNumberFormat="1" applyFont="1" applyBorder="1" applyAlignment="1">
      <alignment horizontal="center" vertical="center" wrapText="1"/>
    </xf>
    <xf numFmtId="15" fontId="20" fillId="0" borderId="23" xfId="0" applyNumberFormat="1" applyFont="1" applyBorder="1" applyAlignment="1">
      <alignment horizontal="center" vertical="center" wrapText="1"/>
    </xf>
    <xf numFmtId="165" fontId="20" fillId="0" borderId="23" xfId="0" applyNumberFormat="1" applyFont="1" applyBorder="1" applyAlignment="1">
      <alignment horizontal="center" vertical="center" wrapText="1"/>
    </xf>
    <xf numFmtId="0" fontId="21" fillId="0" borderId="23" xfId="0" applyFont="1" applyBorder="1" applyAlignment="1">
      <alignment horizontal="center" vertical="center" wrapText="1"/>
    </xf>
    <xf numFmtId="0" fontId="10" fillId="5" borderId="14" xfId="0" applyFont="1" applyFill="1" applyBorder="1" applyAlignment="1">
      <alignment horizontal="center" vertical="center"/>
    </xf>
    <xf numFmtId="0" fontId="10" fillId="5" borderId="16" xfId="0" applyFont="1" applyFill="1" applyBorder="1" applyAlignment="1">
      <alignment horizontal="center" vertical="center"/>
    </xf>
    <xf numFmtId="0" fontId="0" fillId="0" borderId="0" xfId="0" applyAlignment="1">
      <alignment horizontal="left"/>
    </xf>
    <xf numFmtId="15" fontId="2" fillId="0" borderId="8" xfId="0" quotePrefix="1" applyNumberFormat="1" applyFont="1" applyBorder="1" applyAlignment="1">
      <alignment horizontal="center" vertical="center" wrapText="1"/>
    </xf>
    <xf numFmtId="15" fontId="2" fillId="0" borderId="9" xfId="0" quotePrefix="1" applyNumberFormat="1" applyFont="1" applyBorder="1" applyAlignment="1">
      <alignment horizontal="center" vertical="center" wrapText="1"/>
    </xf>
    <xf numFmtId="9" fontId="2" fillId="0" borderId="8" xfId="0" applyNumberFormat="1" applyFont="1" applyBorder="1" applyAlignment="1">
      <alignment horizontal="center" vertical="center" wrapText="1"/>
    </xf>
    <xf numFmtId="9" fontId="2" fillId="0" borderId="9" xfId="0" applyNumberFormat="1"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9" fillId="4" borderId="13" xfId="0" applyFont="1" applyFill="1" applyBorder="1" applyAlignment="1">
      <alignment horizontal="center" vertical="center"/>
    </xf>
    <xf numFmtId="164" fontId="1" fillId="0" borderId="0" xfId="0" applyNumberFormat="1" applyFont="1" applyAlignment="1">
      <alignment horizontal="center"/>
    </xf>
    <xf numFmtId="0" fontId="1" fillId="0" borderId="0" xfId="0" applyFont="1" applyAlignment="1">
      <alignment horizontal="center"/>
    </xf>
    <xf numFmtId="0" fontId="2" fillId="2" borderId="1" xfId="0" applyFont="1" applyFill="1" applyBorder="1" applyAlignment="1">
      <alignment horizontal="center" vertical="center" wrapText="1"/>
    </xf>
    <xf numFmtId="0" fontId="2" fillId="2" borderId="5" xfId="0" applyFont="1" applyFill="1" applyBorder="1" applyAlignment="1">
      <alignment horizontal="center" vertical="center" wrapText="1"/>
    </xf>
    <xf numFmtId="9" fontId="3" fillId="2" borderId="2" xfId="0" applyNumberFormat="1" applyFont="1" applyFill="1" applyBorder="1" applyAlignment="1">
      <alignment horizontal="center" vertical="center" wrapText="1"/>
    </xf>
    <xf numFmtId="9" fontId="3" fillId="2" borderId="1"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0" borderId="5" xfId="0" applyBorder="1" applyAlignment="1">
      <alignment horizontal="center"/>
    </xf>
    <xf numFmtId="1" fontId="3" fillId="2" borderId="1" xfId="0" applyNumberFormat="1" applyFont="1" applyFill="1" applyBorder="1" applyAlignment="1">
      <alignment horizontal="center" vertical="center" wrapText="1"/>
    </xf>
    <xf numFmtId="1" fontId="3" fillId="2" borderId="5" xfId="0" applyNumberFormat="1" applyFont="1" applyFill="1" applyBorder="1" applyAlignment="1">
      <alignment horizontal="center" vertical="center" wrapText="1"/>
    </xf>
    <xf numFmtId="1" fontId="15" fillId="7" borderId="8" xfId="0" applyNumberFormat="1" applyFont="1" applyFill="1" applyBorder="1" applyAlignment="1">
      <alignment horizontal="center" vertical="center" wrapText="1"/>
    </xf>
    <xf numFmtId="1" fontId="15" fillId="7" borderId="19" xfId="0" applyNumberFormat="1" applyFont="1" applyFill="1" applyBorder="1" applyAlignment="1">
      <alignment horizontal="center" vertical="center" wrapText="1"/>
    </xf>
    <xf numFmtId="1" fontId="15" fillId="7" borderId="9" xfId="0" applyNumberFormat="1" applyFont="1" applyFill="1" applyBorder="1" applyAlignment="1">
      <alignment horizontal="center" vertical="center" wrapText="1"/>
    </xf>
    <xf numFmtId="9" fontId="14" fillId="7" borderId="7" xfId="0" applyNumberFormat="1" applyFont="1" applyFill="1" applyBorder="1" applyAlignment="1">
      <alignment horizontal="center" vertical="center" wrapText="1"/>
    </xf>
    <xf numFmtId="15" fontId="14" fillId="7" borderId="20" xfId="0" quotePrefix="1" applyNumberFormat="1" applyFont="1" applyFill="1" applyBorder="1" applyAlignment="1">
      <alignment horizontal="center" vertical="center" wrapText="1"/>
    </xf>
    <xf numFmtId="15" fontId="14" fillId="7" borderId="18" xfId="0" quotePrefix="1" applyNumberFormat="1" applyFont="1" applyFill="1" applyBorder="1" applyAlignment="1">
      <alignment horizontal="center" vertical="center" wrapText="1"/>
    </xf>
    <xf numFmtId="15" fontId="14" fillId="7" borderId="21" xfId="0" quotePrefix="1" applyNumberFormat="1" applyFont="1" applyFill="1" applyBorder="1" applyAlignment="1">
      <alignment horizontal="center" vertical="center" wrapText="1"/>
    </xf>
    <xf numFmtId="9" fontId="14" fillId="7" borderId="8" xfId="0" applyNumberFormat="1" applyFont="1" applyFill="1" applyBorder="1" applyAlignment="1">
      <alignment horizontal="center" vertical="center" wrapText="1"/>
    </xf>
    <xf numFmtId="9" fontId="14" fillId="7" borderId="19" xfId="0" applyNumberFormat="1" applyFont="1" applyFill="1" applyBorder="1" applyAlignment="1">
      <alignment horizontal="center" vertical="center" wrapText="1"/>
    </xf>
    <xf numFmtId="9" fontId="14" fillId="7" borderId="9" xfId="0" applyNumberFormat="1" applyFont="1" applyFill="1" applyBorder="1" applyAlignment="1">
      <alignment horizontal="center" vertical="center" wrapText="1"/>
    </xf>
    <xf numFmtId="15" fontId="14" fillId="7" borderId="8" xfId="0" quotePrefix="1" applyNumberFormat="1" applyFont="1" applyFill="1" applyBorder="1" applyAlignment="1">
      <alignment horizontal="center" vertical="center" wrapText="1"/>
    </xf>
    <xf numFmtId="15" fontId="14" fillId="7" borderId="9" xfId="0" quotePrefix="1" applyNumberFormat="1" applyFont="1" applyFill="1" applyBorder="1" applyAlignment="1">
      <alignment horizontal="center" vertical="center" wrapText="1"/>
    </xf>
    <xf numFmtId="1" fontId="3" fillId="2" borderId="24"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id-ID"/>
              <a:t>Customer complaint 2021</a:t>
            </a:r>
          </a:p>
        </c:rich>
      </c:tx>
      <c:overlay val="0"/>
    </c:title>
    <c:autoTitleDeleted val="0"/>
    <c:plotArea>
      <c:layout/>
      <c:lineChart>
        <c:grouping val="standard"/>
        <c:varyColors val="0"/>
        <c:ser>
          <c:idx val="0"/>
          <c:order val="0"/>
          <c:tx>
            <c:strRef>
              <c:f>'2021'!$A$17</c:f>
              <c:strCache>
                <c:ptCount val="1"/>
                <c:pt idx="0">
                  <c:v>Temuan 2020</c:v>
                </c:pt>
              </c:strCache>
            </c:strRef>
          </c:tx>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'2021'!$B$16:$M$16</c:f>
              <c:strCache>
                <c:ptCount val="12"/>
                <c:pt idx="0">
                  <c:v>Januari</c:v>
                </c:pt>
                <c:pt idx="1">
                  <c:v>Februari</c:v>
                </c:pt>
                <c:pt idx="2">
                  <c:v>Maret</c:v>
                </c:pt>
                <c:pt idx="3">
                  <c:v>April</c:v>
                </c:pt>
                <c:pt idx="4">
                  <c:v>Mei</c:v>
                </c:pt>
                <c:pt idx="5">
                  <c:v>Juni</c:v>
                </c:pt>
                <c:pt idx="6">
                  <c:v>Juli</c:v>
                </c:pt>
                <c:pt idx="7">
                  <c:v>Agustus</c:v>
                </c:pt>
                <c:pt idx="8">
                  <c:v>September</c:v>
                </c:pt>
                <c:pt idx="9">
                  <c:v>Oktober</c:v>
                </c:pt>
                <c:pt idx="10">
                  <c:v>November</c:v>
                </c:pt>
                <c:pt idx="11">
                  <c:v>Desember</c:v>
                </c:pt>
              </c:strCache>
            </c:strRef>
          </c:cat>
          <c:val>
            <c:numRef>
              <c:f>'2021'!$B$17:$M$17</c:f>
              <c:numCache>
                <c:formatCode>General</c:formatCode>
                <c:ptCount val="12"/>
                <c:pt idx="0">
                  <c:v>5</c:v>
                </c:pt>
                <c:pt idx="1">
                  <c:v>12</c:v>
                </c:pt>
                <c:pt idx="2">
                  <c:v>3</c:v>
                </c:pt>
                <c:pt idx="3">
                  <c:v>3</c:v>
                </c:pt>
                <c:pt idx="4">
                  <c:v>2</c:v>
                </c:pt>
                <c:pt idx="5">
                  <c:v>1</c:v>
                </c:pt>
                <c:pt idx="6">
                  <c:v>2</c:v>
                </c:pt>
                <c:pt idx="7">
                  <c:v>1</c:v>
                </c:pt>
                <c:pt idx="8">
                  <c:v>2</c:v>
                </c:pt>
                <c:pt idx="9">
                  <c:v>1</c:v>
                </c:pt>
                <c:pt idx="10">
                  <c:v>1</c:v>
                </c:pt>
                <c:pt idx="11">
                  <c:v>1</c:v>
                </c:pt>
              </c:numCache>
            </c:numRef>
          </c:val>
          <c:smooth val="0"/>
          <c:extLst>
            <c:ext xmlns:c16="http://schemas.microsoft.com/office/drawing/2014/chart" uri="{C3380CC4-5D6E-409C-BE32-E72D297353CC}">
              <c16:uniqueId val="{00000000-BFBE-4270-B115-2CE1E045778D}"/>
            </c:ext>
          </c:extLst>
        </c:ser>
        <c:ser>
          <c:idx val="1"/>
          <c:order val="1"/>
          <c:tx>
            <c:strRef>
              <c:f>'2021'!$A$18</c:f>
              <c:strCache>
                <c:ptCount val="1"/>
                <c:pt idx="0">
                  <c:v>Temuan 2021</c:v>
                </c:pt>
              </c:strCache>
            </c:strRef>
          </c:tx>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'2021'!$B$16:$M$16</c:f>
              <c:strCache>
                <c:ptCount val="12"/>
                <c:pt idx="0">
                  <c:v>Januari</c:v>
                </c:pt>
                <c:pt idx="1">
                  <c:v>Februari</c:v>
                </c:pt>
                <c:pt idx="2">
                  <c:v>Maret</c:v>
                </c:pt>
                <c:pt idx="3">
                  <c:v>April</c:v>
                </c:pt>
                <c:pt idx="4">
                  <c:v>Mei</c:v>
                </c:pt>
                <c:pt idx="5">
                  <c:v>Juni</c:v>
                </c:pt>
                <c:pt idx="6">
                  <c:v>Juli</c:v>
                </c:pt>
                <c:pt idx="7">
                  <c:v>Agustus</c:v>
                </c:pt>
                <c:pt idx="8">
                  <c:v>September</c:v>
                </c:pt>
                <c:pt idx="9">
                  <c:v>Oktober</c:v>
                </c:pt>
                <c:pt idx="10">
                  <c:v>November</c:v>
                </c:pt>
                <c:pt idx="11">
                  <c:v>Desember</c:v>
                </c:pt>
              </c:strCache>
            </c:strRef>
          </c:cat>
          <c:val>
            <c:numRef>
              <c:f>'2021'!$B$18:$M$18</c:f>
              <c:numCache>
                <c:formatCode>General</c:formatCode>
                <c:ptCount val="12"/>
                <c:pt idx="0">
                  <c:v>3</c:v>
                </c:pt>
                <c:pt idx="1">
                  <c:v>1</c:v>
                </c:pt>
                <c:pt idx="2">
                  <c:v>2</c:v>
                </c:pt>
                <c:pt idx="3">
                  <c:v>1</c:v>
                </c:pt>
                <c:pt idx="4">
                  <c:v>1</c:v>
                </c:pt>
                <c:pt idx="5">
                  <c:v>0</c:v>
                </c:pt>
                <c:pt idx="6">
                  <c:v>1</c:v>
                </c:pt>
                <c:pt idx="7">
                  <c:v>2</c:v>
                </c:pt>
                <c:pt idx="8">
                  <c:v>1</c:v>
                </c:pt>
                <c:pt idx="9">
                  <c:v>1</c:v>
                </c:pt>
                <c:pt idx="10">
                  <c:v>3</c:v>
                </c:pt>
                <c:pt idx="11">
                  <c:v>2</c:v>
                </c:pt>
              </c:numCache>
            </c:numRef>
          </c:val>
          <c:smooth val="0"/>
          <c:extLst>
            <c:ext xmlns:c16="http://schemas.microsoft.com/office/drawing/2014/chart" uri="{C3380CC4-5D6E-409C-BE32-E72D297353CC}">
              <c16:uniqueId val="{00000001-BFBE-4270-B115-2CE1E045778D}"/>
            </c:ext>
          </c:extLst>
        </c:ser>
        <c:dLbls>
          <c:showLegendKey val="0"/>
          <c:showVal val="0"/>
          <c:showCatName val="0"/>
          <c:showSerName val="0"/>
          <c:showPercent val="0"/>
          <c:showBubbleSize val="0"/>
        </c:dLbls>
        <c:marker val="1"/>
        <c:smooth val="0"/>
        <c:axId val="275261184"/>
        <c:axId val="275263536"/>
      </c:lineChart>
      <c:catAx>
        <c:axId val="275261184"/>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75263536"/>
        <c:crosses val="autoZero"/>
        <c:auto val="1"/>
        <c:lblAlgn val="ctr"/>
        <c:lblOffset val="100"/>
        <c:noMultiLvlLbl val="0"/>
      </c:catAx>
      <c:valAx>
        <c:axId val="275263536"/>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id-ID"/>
                  <a:t>Jumlah Complain/Bulan </a:t>
                </a:r>
              </a:p>
            </c:rich>
          </c:tx>
          <c:overlay val="0"/>
        </c:title>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75261184"/>
        <c:crosses val="autoZero"/>
        <c:crossBetween val="between"/>
      </c:valAx>
    </c:plotArea>
    <c:legend>
      <c:legendPos val="r"/>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d-ID"/>
              <a:t>Customer complaint 202</a:t>
            </a:r>
            <a:r>
              <a:rPr lang="en-US"/>
              <a:t>2</a:t>
            </a:r>
            <a:endParaRPr lang="id-ID"/>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1"/>
          <c:order val="0"/>
          <c:tx>
            <c:strRef>
              <c:f>'2022'!$A$36</c:f>
              <c:strCache>
                <c:ptCount val="1"/>
                <c:pt idx="0">
                  <c:v>Temuan 2021</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'2022'!$B$34:$M$34</c:f>
              <c:strCache>
                <c:ptCount val="12"/>
                <c:pt idx="0">
                  <c:v>Januari</c:v>
                </c:pt>
                <c:pt idx="1">
                  <c:v>Februari</c:v>
                </c:pt>
                <c:pt idx="2">
                  <c:v>Maret</c:v>
                </c:pt>
                <c:pt idx="3">
                  <c:v>April</c:v>
                </c:pt>
                <c:pt idx="4">
                  <c:v>Mei</c:v>
                </c:pt>
                <c:pt idx="5">
                  <c:v>Juni</c:v>
                </c:pt>
                <c:pt idx="6">
                  <c:v>Juli</c:v>
                </c:pt>
                <c:pt idx="7">
                  <c:v>Agustus</c:v>
                </c:pt>
                <c:pt idx="8">
                  <c:v>September</c:v>
                </c:pt>
                <c:pt idx="9">
                  <c:v>Oktober</c:v>
                </c:pt>
                <c:pt idx="10">
                  <c:v>November</c:v>
                </c:pt>
                <c:pt idx="11">
                  <c:v>Desember</c:v>
                </c:pt>
              </c:strCache>
            </c:strRef>
          </c:cat>
          <c:val>
            <c:numRef>
              <c:f>'2022'!$B$36:$M$36</c:f>
              <c:numCache>
                <c:formatCode>General</c:formatCode>
                <c:ptCount val="12"/>
                <c:pt idx="0">
                  <c:v>3</c:v>
                </c:pt>
                <c:pt idx="1">
                  <c:v>1</c:v>
                </c:pt>
                <c:pt idx="2">
                  <c:v>2</c:v>
                </c:pt>
                <c:pt idx="3">
                  <c:v>1</c:v>
                </c:pt>
                <c:pt idx="4">
                  <c:v>1</c:v>
                </c:pt>
                <c:pt idx="5">
                  <c:v>0</c:v>
                </c:pt>
                <c:pt idx="6">
                  <c:v>1</c:v>
                </c:pt>
                <c:pt idx="7">
                  <c:v>2</c:v>
                </c:pt>
                <c:pt idx="8">
                  <c:v>1</c:v>
                </c:pt>
                <c:pt idx="9">
                  <c:v>1</c:v>
                </c:pt>
                <c:pt idx="10">
                  <c:v>3</c:v>
                </c:pt>
                <c:pt idx="11">
                  <c:v>2</c:v>
                </c:pt>
              </c:numCache>
            </c:numRef>
          </c:val>
          <c:smooth val="0"/>
          <c:extLst>
            <c:ext xmlns:c16="http://schemas.microsoft.com/office/drawing/2014/chart" uri="{C3380CC4-5D6E-409C-BE32-E72D297353CC}">
              <c16:uniqueId val="{00000001-BD35-4E15-8248-CBC053AB6B00}"/>
            </c:ext>
          </c:extLst>
        </c:ser>
        <c:ser>
          <c:idx val="0"/>
          <c:order val="1"/>
          <c:tx>
            <c:strRef>
              <c:f>'2022'!$A$35</c:f>
              <c:strCache>
                <c:ptCount val="1"/>
                <c:pt idx="0">
                  <c:v>Temuan 2022</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'2022'!$B$34:$M$34</c:f>
              <c:strCache>
                <c:ptCount val="12"/>
                <c:pt idx="0">
                  <c:v>Januari</c:v>
                </c:pt>
                <c:pt idx="1">
                  <c:v>Februari</c:v>
                </c:pt>
                <c:pt idx="2">
                  <c:v>Maret</c:v>
                </c:pt>
                <c:pt idx="3">
                  <c:v>April</c:v>
                </c:pt>
                <c:pt idx="4">
                  <c:v>Mei</c:v>
                </c:pt>
                <c:pt idx="5">
                  <c:v>Juni</c:v>
                </c:pt>
                <c:pt idx="6">
                  <c:v>Juli</c:v>
                </c:pt>
                <c:pt idx="7">
                  <c:v>Agustus</c:v>
                </c:pt>
                <c:pt idx="8">
                  <c:v>September</c:v>
                </c:pt>
                <c:pt idx="9">
                  <c:v>Oktober</c:v>
                </c:pt>
                <c:pt idx="10">
                  <c:v>November</c:v>
                </c:pt>
                <c:pt idx="11">
                  <c:v>Desember</c:v>
                </c:pt>
              </c:strCache>
            </c:strRef>
          </c:cat>
          <c:val>
            <c:numRef>
              <c:f>'2022'!$B$35:$M$35</c:f>
              <c:numCache>
                <c:formatCode>General</c:formatCode>
                <c:ptCount val="12"/>
                <c:pt idx="0">
                  <c:v>3</c:v>
                </c:pt>
                <c:pt idx="1">
                  <c:v>2</c:v>
                </c:pt>
                <c:pt idx="2">
                  <c:v>2</c:v>
                </c:pt>
                <c:pt idx="3">
                  <c:v>1</c:v>
                </c:pt>
                <c:pt idx="4">
                  <c:v>1</c:v>
                </c:pt>
                <c:pt idx="5">
                  <c:v>5</c:v>
                </c:pt>
                <c:pt idx="6">
                  <c:v>3</c:v>
                </c:pt>
                <c:pt idx="7">
                  <c:v>1</c:v>
                </c:pt>
                <c:pt idx="8">
                  <c:v>2</c:v>
                </c:pt>
                <c:pt idx="9">
                  <c:v>2</c:v>
                </c:pt>
                <c:pt idx="10">
                  <c:v>2</c:v>
                </c:pt>
                <c:pt idx="11">
                  <c:v>0</c:v>
                </c:pt>
              </c:numCache>
            </c:numRef>
          </c:val>
          <c:smooth val="0"/>
          <c:extLst>
            <c:ext xmlns:c16="http://schemas.microsoft.com/office/drawing/2014/chart" uri="{C3380CC4-5D6E-409C-BE32-E72D297353CC}">
              <c16:uniqueId val="{00000000-BD35-4E15-8248-CBC053AB6B00}"/>
            </c:ext>
          </c:extLst>
        </c:ser>
        <c:dLbls>
          <c:showLegendKey val="0"/>
          <c:showVal val="0"/>
          <c:showCatName val="0"/>
          <c:showSerName val="0"/>
          <c:showPercent val="0"/>
          <c:showBubbleSize val="0"/>
        </c:dLbls>
        <c:smooth val="0"/>
        <c:axId val="275261184"/>
        <c:axId val="275263536"/>
      </c:lineChart>
      <c:catAx>
        <c:axId val="2752611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5263536"/>
        <c:crosses val="autoZero"/>
        <c:auto val="1"/>
        <c:lblAlgn val="ctr"/>
        <c:lblOffset val="100"/>
        <c:noMultiLvlLbl val="0"/>
      </c:catAx>
      <c:valAx>
        <c:axId val="275263536"/>
        <c:scaling>
          <c:orientation val="minMax"/>
          <c:max val="5"/>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id-ID"/>
                  <a:t>Jumlah Complain/Bulan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5261184"/>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bg2">
        <a:lumMod val="25000"/>
      </a:schemeClr>
    </a:soli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id-ID"/>
              <a:t>Customer complaint 202</a:t>
            </a:r>
            <a:r>
              <a:rPr lang="en-US"/>
              <a:t>3</a:t>
            </a:r>
            <a:endParaRPr lang="id-ID"/>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1"/>
          <c:order val="0"/>
          <c:tx>
            <c:strRef>
              <c:f>'2023'!$A$26</c:f>
              <c:strCache>
                <c:ptCount val="1"/>
                <c:pt idx="0">
                  <c:v>Temuan 2023</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'2023'!$B$24:$M$24</c:f>
              <c:strCache>
                <c:ptCount val="12"/>
                <c:pt idx="0">
                  <c:v>Januari</c:v>
                </c:pt>
                <c:pt idx="1">
                  <c:v>Februari</c:v>
                </c:pt>
                <c:pt idx="2">
                  <c:v>Maret</c:v>
                </c:pt>
                <c:pt idx="3">
                  <c:v>April</c:v>
                </c:pt>
                <c:pt idx="4">
                  <c:v>Mei</c:v>
                </c:pt>
                <c:pt idx="5">
                  <c:v>Juni</c:v>
                </c:pt>
                <c:pt idx="6">
                  <c:v>Juli</c:v>
                </c:pt>
                <c:pt idx="7">
                  <c:v>Agustus</c:v>
                </c:pt>
                <c:pt idx="8">
                  <c:v>September</c:v>
                </c:pt>
                <c:pt idx="9">
                  <c:v>Oktober</c:v>
                </c:pt>
                <c:pt idx="10">
                  <c:v>November</c:v>
                </c:pt>
                <c:pt idx="11">
                  <c:v>Desember</c:v>
                </c:pt>
              </c:strCache>
            </c:strRef>
          </c:cat>
          <c:val>
            <c:numRef>
              <c:f>'2023'!$B$26:$M$26</c:f>
              <c:numCache>
                <c:formatCode>General</c:formatCode>
                <c:ptCount val="12"/>
                <c:pt idx="0">
                  <c:v>4</c:v>
                </c:pt>
                <c:pt idx="1">
                  <c:v>2</c:v>
                </c:pt>
                <c:pt idx="2">
                  <c:v>3</c:v>
                </c:pt>
                <c:pt idx="3">
                  <c:v>1</c:v>
                </c:pt>
                <c:pt idx="4">
                  <c:v>5</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7DFE-45D0-A962-C0E93CAEDC62}"/>
            </c:ext>
          </c:extLst>
        </c:ser>
        <c:ser>
          <c:idx val="0"/>
          <c:order val="1"/>
          <c:tx>
            <c:strRef>
              <c:f>'2023'!$A$25</c:f>
              <c:strCache>
                <c:ptCount val="1"/>
                <c:pt idx="0">
                  <c:v>Temuan 2022</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'2023'!$B$24:$M$24</c:f>
              <c:strCache>
                <c:ptCount val="12"/>
                <c:pt idx="0">
                  <c:v>Januari</c:v>
                </c:pt>
                <c:pt idx="1">
                  <c:v>Februari</c:v>
                </c:pt>
                <c:pt idx="2">
                  <c:v>Maret</c:v>
                </c:pt>
                <c:pt idx="3">
                  <c:v>April</c:v>
                </c:pt>
                <c:pt idx="4">
                  <c:v>Mei</c:v>
                </c:pt>
                <c:pt idx="5">
                  <c:v>Juni</c:v>
                </c:pt>
                <c:pt idx="6">
                  <c:v>Juli</c:v>
                </c:pt>
                <c:pt idx="7">
                  <c:v>Agustus</c:v>
                </c:pt>
                <c:pt idx="8">
                  <c:v>September</c:v>
                </c:pt>
                <c:pt idx="9">
                  <c:v>Oktober</c:v>
                </c:pt>
                <c:pt idx="10">
                  <c:v>November</c:v>
                </c:pt>
                <c:pt idx="11">
                  <c:v>Desember</c:v>
                </c:pt>
              </c:strCache>
            </c:strRef>
          </c:cat>
          <c:val>
            <c:numRef>
              <c:f>'2023'!$B$25:$M$25</c:f>
              <c:numCache>
                <c:formatCode>General</c:formatCode>
                <c:ptCount val="12"/>
                <c:pt idx="0">
                  <c:v>3</c:v>
                </c:pt>
                <c:pt idx="1">
                  <c:v>2</c:v>
                </c:pt>
                <c:pt idx="2">
                  <c:v>2</c:v>
                </c:pt>
                <c:pt idx="3">
                  <c:v>1</c:v>
                </c:pt>
                <c:pt idx="4">
                  <c:v>1</c:v>
                </c:pt>
                <c:pt idx="5">
                  <c:v>5</c:v>
                </c:pt>
                <c:pt idx="6">
                  <c:v>3</c:v>
                </c:pt>
                <c:pt idx="7">
                  <c:v>1</c:v>
                </c:pt>
                <c:pt idx="8">
                  <c:v>2</c:v>
                </c:pt>
                <c:pt idx="9">
                  <c:v>2</c:v>
                </c:pt>
                <c:pt idx="10">
                  <c:v>2</c:v>
                </c:pt>
                <c:pt idx="11">
                  <c:v>0</c:v>
                </c:pt>
              </c:numCache>
            </c:numRef>
          </c:val>
          <c:smooth val="0"/>
          <c:extLst>
            <c:ext xmlns:c16="http://schemas.microsoft.com/office/drawing/2014/chart" uri="{C3380CC4-5D6E-409C-BE32-E72D297353CC}">
              <c16:uniqueId val="{00000001-7DFE-45D0-A962-C0E93CAEDC62}"/>
            </c:ext>
          </c:extLst>
        </c:ser>
        <c:dLbls>
          <c:showLegendKey val="0"/>
          <c:showVal val="0"/>
          <c:showCatName val="0"/>
          <c:showSerName val="0"/>
          <c:showPercent val="0"/>
          <c:showBubbleSize val="0"/>
        </c:dLbls>
        <c:smooth val="0"/>
        <c:axId val="275261184"/>
        <c:axId val="275263536"/>
      </c:lineChart>
      <c:catAx>
        <c:axId val="2752611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5263536"/>
        <c:crosses val="autoZero"/>
        <c:auto val="1"/>
        <c:lblAlgn val="ctr"/>
        <c:lblOffset val="100"/>
        <c:noMultiLvlLbl val="0"/>
      </c:catAx>
      <c:valAx>
        <c:axId val="275263536"/>
        <c:scaling>
          <c:orientation val="minMax"/>
          <c:max val="5"/>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id-ID"/>
                  <a:t>Jumlah Complain/Bulan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5261184"/>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bg2">
        <a:lumMod val="25000"/>
      </a:schemeClr>
    </a:soli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344920</xdr:colOff>
      <xdr:row>18</xdr:row>
      <xdr:rowOff>100446</xdr:rowOff>
    </xdr:from>
    <xdr:to>
      <xdr:col>11</xdr:col>
      <xdr:colOff>554470</xdr:colOff>
      <xdr:row>33</xdr:row>
      <xdr:rowOff>17607</xdr:rowOff>
    </xdr:to>
    <xdr:graphicFrame macro="">
      <xdr:nvGraphicFramePr>
        <xdr:cNvPr id="2" name="Chart 3">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344920</xdr:colOff>
      <xdr:row>36</xdr:row>
      <xdr:rowOff>100446</xdr:rowOff>
    </xdr:from>
    <xdr:to>
      <xdr:col>11</xdr:col>
      <xdr:colOff>554470</xdr:colOff>
      <xdr:row>51</xdr:row>
      <xdr:rowOff>17607</xdr:rowOff>
    </xdr:to>
    <xdr:graphicFrame macro="">
      <xdr:nvGraphicFramePr>
        <xdr:cNvPr id="2" name="Chart 3">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358528</xdr:colOff>
      <xdr:row>26</xdr:row>
      <xdr:rowOff>73232</xdr:rowOff>
    </xdr:from>
    <xdr:to>
      <xdr:col>10</xdr:col>
      <xdr:colOff>636113</xdr:colOff>
      <xdr:row>40</xdr:row>
      <xdr:rowOff>180893</xdr:rowOff>
    </xdr:to>
    <xdr:graphicFrame macro="">
      <xdr:nvGraphicFramePr>
        <xdr:cNvPr id="2" name="Chart 3">
          <a:extLst>
            <a:ext uri="{FF2B5EF4-FFF2-40B4-BE49-F238E27FC236}">
              <a16:creationId xmlns:a16="http://schemas.microsoft.com/office/drawing/2014/main" id="{43B50BF7-CFFC-4ADE-920A-FD0B2DCC5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36"/>
  <sheetViews>
    <sheetView showGridLines="0" zoomScale="68" zoomScaleNormal="68" workbookViewId="0">
      <pane ySplit="6" topLeftCell="A13" activePane="bottomLeft" state="frozen"/>
      <selection pane="bottomLeft" activeCell="B20" sqref="B20"/>
    </sheetView>
  </sheetViews>
  <sheetFormatPr defaultColWidth="9.140625" defaultRowHeight="15" x14ac:dyDescent="0.25"/>
  <cols>
    <col min="1" max="1" width="26.7109375" customWidth="1"/>
    <col min="2" max="2" width="12.42578125" customWidth="1"/>
    <col min="3" max="3" width="15" customWidth="1"/>
    <col min="4" max="4" width="11.140625" customWidth="1"/>
    <col min="5" max="5" width="25" customWidth="1"/>
    <col min="6" max="6" width="39.42578125" customWidth="1"/>
    <col min="7" max="7" width="46.5703125" customWidth="1"/>
    <col min="9" max="9" width="11" customWidth="1"/>
    <col min="10" max="10" width="12.28515625" customWidth="1"/>
    <col min="11" max="11" width="9.7109375" customWidth="1"/>
    <col min="12" max="12" width="10.42578125" customWidth="1"/>
    <col min="13" max="13" width="10.140625" customWidth="1"/>
  </cols>
  <sheetData>
    <row r="1" spans="1:16" ht="26.25" x14ac:dyDescent="0.4">
      <c r="A1" s="81" t="s">
        <v>0</v>
      </c>
      <c r="B1" s="81"/>
      <c r="C1" s="81"/>
      <c r="D1" s="81"/>
      <c r="E1" s="81"/>
      <c r="F1" s="81"/>
      <c r="G1" s="81"/>
      <c r="H1" s="81"/>
      <c r="I1" s="1"/>
      <c r="J1" s="1"/>
      <c r="K1" s="1"/>
      <c r="L1" s="1"/>
      <c r="M1" s="1"/>
      <c r="N1" s="1"/>
      <c r="O1" s="1"/>
      <c r="P1" s="1"/>
    </row>
    <row r="2" spans="1:16" ht="26.25" x14ac:dyDescent="0.4">
      <c r="A2" s="82" t="s">
        <v>1</v>
      </c>
      <c r="B2" s="82"/>
      <c r="C2" s="82"/>
      <c r="D2" s="82"/>
      <c r="E2" s="82"/>
      <c r="F2" s="82"/>
      <c r="G2" s="82"/>
      <c r="H2" s="82"/>
      <c r="I2" s="2"/>
      <c r="J2" s="2"/>
      <c r="K2" s="2"/>
      <c r="L2" s="2"/>
      <c r="M2" s="2"/>
      <c r="N2" s="2"/>
      <c r="O2" s="2"/>
      <c r="P2" s="2"/>
    </row>
    <row r="4" spans="1:16" ht="16.5" x14ac:dyDescent="0.25">
      <c r="A4" s="83" t="s">
        <v>2</v>
      </c>
      <c r="B4" s="85" t="s">
        <v>3</v>
      </c>
      <c r="C4" s="87" t="s">
        <v>4</v>
      </c>
      <c r="D4" s="3" t="s">
        <v>5</v>
      </c>
      <c r="E4" s="89" t="s">
        <v>6</v>
      </c>
      <c r="F4" s="91" t="s">
        <v>7</v>
      </c>
      <c r="G4" s="91" t="s">
        <v>8</v>
      </c>
      <c r="H4" s="89" t="s">
        <v>9</v>
      </c>
    </row>
    <row r="5" spans="1:16" ht="16.5" customHeight="1" x14ac:dyDescent="0.25">
      <c r="A5" s="84"/>
      <c r="B5" s="86"/>
      <c r="C5" s="88"/>
      <c r="D5" s="4" t="s">
        <v>10</v>
      </c>
      <c r="E5" s="90"/>
      <c r="F5" s="92"/>
      <c r="G5" s="92"/>
      <c r="H5" s="90"/>
    </row>
    <row r="6" spans="1:16" ht="99.75" hidden="1" customHeight="1" x14ac:dyDescent="0.25">
      <c r="A6" s="5">
        <v>44026</v>
      </c>
      <c r="B6" s="6" t="s">
        <v>11</v>
      </c>
      <c r="C6" s="7" t="s">
        <v>12</v>
      </c>
      <c r="D6" s="8" t="s">
        <v>13</v>
      </c>
      <c r="E6" s="9" t="s">
        <v>14</v>
      </c>
      <c r="F6" s="10"/>
      <c r="G6" s="11"/>
      <c r="H6" s="12" t="s">
        <v>15</v>
      </c>
    </row>
    <row r="7" spans="1:16" ht="84.95" customHeight="1" x14ac:dyDescent="0.25">
      <c r="A7" s="72">
        <v>44447</v>
      </c>
      <c r="B7" s="74" t="s">
        <v>16</v>
      </c>
      <c r="C7" s="76" t="s">
        <v>17</v>
      </c>
      <c r="D7" s="13"/>
      <c r="E7" s="14" t="s">
        <v>18</v>
      </c>
      <c r="F7" s="10" t="s">
        <v>19</v>
      </c>
      <c r="G7" s="15" t="s">
        <v>20</v>
      </c>
      <c r="H7" s="16" t="s">
        <v>21</v>
      </c>
    </row>
    <row r="8" spans="1:16" ht="84.95" customHeight="1" x14ac:dyDescent="0.25">
      <c r="A8" s="73"/>
      <c r="B8" s="75"/>
      <c r="C8" s="77"/>
      <c r="D8" s="13"/>
      <c r="E8" s="14" t="s">
        <v>22</v>
      </c>
      <c r="F8" s="10" t="s">
        <v>23</v>
      </c>
      <c r="G8" s="15" t="s">
        <v>24</v>
      </c>
      <c r="H8" s="16" t="s">
        <v>21</v>
      </c>
    </row>
    <row r="9" spans="1:16" ht="84.75" customHeight="1" x14ac:dyDescent="0.25">
      <c r="A9" s="5">
        <v>44473</v>
      </c>
      <c r="B9" s="17" t="s">
        <v>25</v>
      </c>
      <c r="C9" s="7" t="s">
        <v>26</v>
      </c>
      <c r="D9" s="13"/>
      <c r="E9" s="14" t="s">
        <v>27</v>
      </c>
      <c r="F9" s="10" t="s">
        <v>28</v>
      </c>
      <c r="G9" s="15" t="s">
        <v>29</v>
      </c>
      <c r="H9" s="16" t="s">
        <v>21</v>
      </c>
    </row>
    <row r="10" spans="1:16" ht="84.75" customHeight="1" x14ac:dyDescent="0.25">
      <c r="A10" s="5">
        <v>44504</v>
      </c>
      <c r="B10" s="74" t="s">
        <v>25</v>
      </c>
      <c r="C10" s="76" t="s">
        <v>26</v>
      </c>
      <c r="D10" s="13"/>
      <c r="E10" s="14" t="s">
        <v>30</v>
      </c>
      <c r="F10" s="18" t="s">
        <v>31</v>
      </c>
      <c r="G10" s="19" t="s">
        <v>32</v>
      </c>
      <c r="H10" s="16" t="s">
        <v>21</v>
      </c>
    </row>
    <row r="11" spans="1:16" ht="114" customHeight="1" x14ac:dyDescent="0.25">
      <c r="A11" s="5">
        <v>44522</v>
      </c>
      <c r="B11" s="75"/>
      <c r="C11" s="77"/>
      <c r="D11" s="13"/>
      <c r="E11" s="14" t="s">
        <v>33</v>
      </c>
      <c r="F11" s="18" t="s">
        <v>34</v>
      </c>
      <c r="G11" s="19" t="s">
        <v>35</v>
      </c>
      <c r="H11" s="16" t="s">
        <v>21</v>
      </c>
    </row>
    <row r="12" spans="1:16" ht="114" customHeight="1" x14ac:dyDescent="0.25">
      <c r="A12" s="5">
        <v>44522</v>
      </c>
      <c r="B12" s="17" t="s">
        <v>36</v>
      </c>
      <c r="C12" s="7" t="s">
        <v>12</v>
      </c>
      <c r="D12" s="13"/>
      <c r="E12" s="14" t="s">
        <v>37</v>
      </c>
      <c r="F12" s="18" t="s">
        <v>38</v>
      </c>
      <c r="G12" s="19" t="s">
        <v>39</v>
      </c>
      <c r="H12" s="16" t="s">
        <v>21</v>
      </c>
    </row>
    <row r="13" spans="1:16" ht="114" customHeight="1" x14ac:dyDescent="0.25">
      <c r="A13" s="5">
        <v>44545</v>
      </c>
      <c r="B13" s="17" t="s">
        <v>40</v>
      </c>
      <c r="C13" s="7" t="s">
        <v>41</v>
      </c>
      <c r="D13" s="13">
        <v>76</v>
      </c>
      <c r="E13" s="14" t="s">
        <v>42</v>
      </c>
      <c r="F13" s="18" t="s">
        <v>43</v>
      </c>
      <c r="G13" s="19" t="s">
        <v>44</v>
      </c>
      <c r="H13" s="16" t="s">
        <v>21</v>
      </c>
    </row>
    <row r="14" spans="1:16" ht="114" customHeight="1" x14ac:dyDescent="0.25">
      <c r="A14" s="5">
        <v>44548</v>
      </c>
      <c r="B14" s="17" t="s">
        <v>36</v>
      </c>
      <c r="C14" s="7" t="s">
        <v>45</v>
      </c>
      <c r="D14" s="13">
        <v>1</v>
      </c>
      <c r="E14" s="14" t="s">
        <v>46</v>
      </c>
      <c r="F14" s="18" t="s">
        <v>47</v>
      </c>
      <c r="G14" s="19" t="s">
        <v>48</v>
      </c>
      <c r="H14" s="16" t="s">
        <v>21</v>
      </c>
    </row>
    <row r="15" spans="1:16" ht="15.75" thickBot="1" x14ac:dyDescent="0.3">
      <c r="A15" s="20" t="s">
        <v>49</v>
      </c>
      <c r="B15" s="78" t="s">
        <v>50</v>
      </c>
      <c r="C15" s="79"/>
      <c r="D15" s="79"/>
      <c r="E15" s="79"/>
      <c r="F15" s="79"/>
      <c r="G15" s="79"/>
      <c r="H15" s="79"/>
      <c r="I15" s="79"/>
      <c r="J15" s="79"/>
      <c r="K15" s="79"/>
      <c r="L15" s="79"/>
      <c r="M15" s="80"/>
      <c r="N15" s="69" t="s">
        <v>51</v>
      </c>
    </row>
    <row r="16" spans="1:16" ht="24" customHeight="1" thickBot="1" x14ac:dyDescent="0.3">
      <c r="A16" s="21"/>
      <c r="B16" s="21" t="s">
        <v>52</v>
      </c>
      <c r="C16" s="21" t="s">
        <v>53</v>
      </c>
      <c r="D16" s="21" t="s">
        <v>54</v>
      </c>
      <c r="E16" s="21" t="s">
        <v>55</v>
      </c>
      <c r="F16" s="21" t="s">
        <v>56</v>
      </c>
      <c r="G16" s="21" t="s">
        <v>57</v>
      </c>
      <c r="H16" s="21" t="s">
        <v>58</v>
      </c>
      <c r="I16" s="21" t="s">
        <v>59</v>
      </c>
      <c r="J16" s="21" t="s">
        <v>60</v>
      </c>
      <c r="K16" s="21" t="s">
        <v>61</v>
      </c>
      <c r="L16" s="21" t="s">
        <v>62</v>
      </c>
      <c r="M16" s="21" t="s">
        <v>63</v>
      </c>
      <c r="N16" s="70"/>
    </row>
    <row r="17" spans="1:14" x14ac:dyDescent="0.25">
      <c r="A17" s="22" t="s">
        <v>64</v>
      </c>
      <c r="B17" s="23">
        <v>5</v>
      </c>
      <c r="C17" s="23">
        <v>12</v>
      </c>
      <c r="D17" s="23">
        <v>3</v>
      </c>
      <c r="E17" s="23">
        <v>3</v>
      </c>
      <c r="F17" s="23">
        <v>2</v>
      </c>
      <c r="G17" s="23">
        <v>1</v>
      </c>
      <c r="H17" s="23">
        <v>2</v>
      </c>
      <c r="I17" s="23">
        <v>1</v>
      </c>
      <c r="J17" s="23">
        <v>2</v>
      </c>
      <c r="K17" s="23">
        <v>1</v>
      </c>
      <c r="L17" s="23">
        <v>1</v>
      </c>
      <c r="M17" s="23">
        <v>1</v>
      </c>
      <c r="N17" s="24">
        <f>SUM(B17:M17)</f>
        <v>34</v>
      </c>
    </row>
    <row r="18" spans="1:14" x14ac:dyDescent="0.25">
      <c r="A18" s="25" t="s">
        <v>65</v>
      </c>
      <c r="B18" s="12">
        <v>3</v>
      </c>
      <c r="C18" s="12">
        <v>1</v>
      </c>
      <c r="D18" s="12">
        <v>2</v>
      </c>
      <c r="E18" s="12">
        <v>1</v>
      </c>
      <c r="F18" s="12">
        <v>1</v>
      </c>
      <c r="G18" s="12">
        <v>0</v>
      </c>
      <c r="H18" s="12">
        <v>1</v>
      </c>
      <c r="I18" s="12">
        <v>2</v>
      </c>
      <c r="J18" s="12">
        <v>1</v>
      </c>
      <c r="K18" s="12">
        <v>1</v>
      </c>
      <c r="L18" s="12">
        <v>3</v>
      </c>
      <c r="M18" s="12">
        <v>2</v>
      </c>
      <c r="N18" s="26">
        <f>SUM(B18:M18)</f>
        <v>18</v>
      </c>
    </row>
    <row r="36" spans="2:3" x14ac:dyDescent="0.25">
      <c r="B36" s="71"/>
      <c r="C36" s="71"/>
    </row>
  </sheetData>
  <mergeCells count="17">
    <mergeCell ref="A1:H1"/>
    <mergeCell ref="A2:H2"/>
    <mergeCell ref="A4:A5"/>
    <mergeCell ref="B4:B5"/>
    <mergeCell ref="C4:C5"/>
    <mergeCell ref="E4:E5"/>
    <mergeCell ref="F4:F5"/>
    <mergeCell ref="G4:G5"/>
    <mergeCell ref="H4:H5"/>
    <mergeCell ref="N15:N16"/>
    <mergeCell ref="B36:C36"/>
    <mergeCell ref="A7:A8"/>
    <mergeCell ref="B7:B8"/>
    <mergeCell ref="C7:C8"/>
    <mergeCell ref="B10:B11"/>
    <mergeCell ref="C10:C11"/>
    <mergeCell ref="B15:M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54"/>
  <sheetViews>
    <sheetView showGridLines="0" topLeftCell="B1" zoomScale="70" zoomScaleNormal="70" workbookViewId="0">
      <pane ySplit="5" topLeftCell="A30" activePane="bottomLeft" state="frozen"/>
      <selection pane="bottomLeft" activeCell="C7" sqref="C7"/>
    </sheetView>
  </sheetViews>
  <sheetFormatPr defaultColWidth="9.140625" defaultRowHeight="15" x14ac:dyDescent="0.25"/>
  <cols>
    <col min="1" max="1" width="21" customWidth="1"/>
    <col min="2" max="2" width="18.42578125" customWidth="1"/>
    <col min="3" max="3" width="15" customWidth="1"/>
    <col min="4" max="4" width="11.140625" customWidth="1"/>
    <col min="5" max="5" width="30.42578125" customWidth="1"/>
    <col min="6" max="6" width="46.140625" customWidth="1"/>
    <col min="7" max="7" width="46.5703125" customWidth="1"/>
    <col min="8" max="8" width="14" customWidth="1"/>
    <col min="9" max="9" width="11" customWidth="1"/>
    <col min="10" max="10" width="12.28515625" customWidth="1"/>
    <col min="11" max="11" width="9.7109375" customWidth="1"/>
    <col min="12" max="12" width="10.42578125" customWidth="1"/>
    <col min="13" max="13" width="10.140625" customWidth="1"/>
  </cols>
  <sheetData>
    <row r="1" spans="1:16" ht="26.25" x14ac:dyDescent="0.4">
      <c r="A1" s="81" t="s">
        <v>0</v>
      </c>
      <c r="B1" s="81"/>
      <c r="C1" s="81"/>
      <c r="D1" s="81"/>
      <c r="E1" s="81"/>
      <c r="F1" s="81"/>
      <c r="G1" s="81"/>
      <c r="H1" s="81"/>
      <c r="I1" s="1"/>
      <c r="J1" s="1"/>
      <c r="K1" s="1"/>
      <c r="L1" s="1"/>
      <c r="M1" s="1"/>
      <c r="N1" s="1"/>
      <c r="O1" s="1"/>
      <c r="P1" s="1"/>
    </row>
    <row r="2" spans="1:16" ht="26.25" x14ac:dyDescent="0.4">
      <c r="A2" s="82" t="s">
        <v>77</v>
      </c>
      <c r="B2" s="82"/>
      <c r="C2" s="82"/>
      <c r="D2" s="82"/>
      <c r="E2" s="82"/>
      <c r="F2" s="82"/>
      <c r="G2" s="82"/>
      <c r="H2" s="82"/>
      <c r="I2" s="2"/>
      <c r="J2" s="2"/>
      <c r="K2" s="2"/>
      <c r="L2" s="2"/>
      <c r="M2" s="2"/>
      <c r="N2" s="2"/>
      <c r="O2" s="2"/>
      <c r="P2" s="2"/>
    </row>
    <row r="4" spans="1:16" ht="16.5" x14ac:dyDescent="0.25">
      <c r="A4" s="83" t="s">
        <v>2</v>
      </c>
      <c r="B4" s="85" t="s">
        <v>3</v>
      </c>
      <c r="C4" s="87" t="s">
        <v>4</v>
      </c>
      <c r="D4" s="3" t="s">
        <v>5</v>
      </c>
      <c r="E4" s="89" t="s">
        <v>6</v>
      </c>
      <c r="F4" s="91" t="s">
        <v>7</v>
      </c>
      <c r="G4" s="91" t="s">
        <v>81</v>
      </c>
      <c r="H4" s="89" t="s">
        <v>9</v>
      </c>
    </row>
    <row r="5" spans="1:16" ht="16.5" customHeight="1" x14ac:dyDescent="0.25">
      <c r="A5" s="84"/>
      <c r="B5" s="86"/>
      <c r="C5" s="88"/>
      <c r="D5" s="4" t="s">
        <v>10</v>
      </c>
      <c r="E5" s="90"/>
      <c r="F5" s="92"/>
      <c r="G5" s="92"/>
      <c r="H5" s="90"/>
    </row>
    <row r="6" spans="1:16" ht="114" customHeight="1" x14ac:dyDescent="0.25">
      <c r="A6" s="5">
        <v>44582</v>
      </c>
      <c r="B6" s="17" t="s">
        <v>68</v>
      </c>
      <c r="C6" s="7" t="s">
        <v>69</v>
      </c>
      <c r="D6" s="13"/>
      <c r="E6" s="14" t="s">
        <v>72</v>
      </c>
      <c r="F6" s="18" t="s">
        <v>73</v>
      </c>
      <c r="G6" s="19" t="s">
        <v>74</v>
      </c>
      <c r="H6" s="16" t="s">
        <v>21</v>
      </c>
    </row>
    <row r="7" spans="1:16" ht="114" customHeight="1" x14ac:dyDescent="0.25">
      <c r="A7" s="5">
        <v>44587</v>
      </c>
      <c r="B7" s="17" t="s">
        <v>36</v>
      </c>
      <c r="C7" s="7" t="s">
        <v>12</v>
      </c>
      <c r="D7" s="13">
        <v>275</v>
      </c>
      <c r="E7" s="14" t="s">
        <v>71</v>
      </c>
      <c r="F7" s="18" t="s">
        <v>75</v>
      </c>
      <c r="G7" s="19"/>
      <c r="H7" s="16" t="s">
        <v>21</v>
      </c>
    </row>
    <row r="8" spans="1:16" ht="114" customHeight="1" x14ac:dyDescent="0.25">
      <c r="A8" s="5">
        <v>44589</v>
      </c>
      <c r="B8" s="17" t="s">
        <v>66</v>
      </c>
      <c r="C8" s="7" t="s">
        <v>67</v>
      </c>
      <c r="D8" s="13">
        <v>1</v>
      </c>
      <c r="E8" s="14" t="s">
        <v>70</v>
      </c>
      <c r="F8" s="18"/>
      <c r="G8" s="19"/>
      <c r="H8" s="16" t="s">
        <v>21</v>
      </c>
    </row>
    <row r="9" spans="1:16" ht="114" customHeight="1" x14ac:dyDescent="0.25">
      <c r="A9" s="36">
        <v>44604</v>
      </c>
      <c r="B9" s="37" t="s">
        <v>78</v>
      </c>
      <c r="C9" s="38" t="s">
        <v>79</v>
      </c>
      <c r="D9" s="13"/>
      <c r="E9" s="14" t="s">
        <v>80</v>
      </c>
      <c r="F9" s="18"/>
      <c r="G9" s="19" t="s">
        <v>82</v>
      </c>
      <c r="H9" s="16" t="s">
        <v>21</v>
      </c>
    </row>
    <row r="10" spans="1:16" ht="114" customHeight="1" x14ac:dyDescent="0.25">
      <c r="A10" s="5">
        <v>44617</v>
      </c>
      <c r="B10" s="17" t="s">
        <v>66</v>
      </c>
      <c r="C10" s="7" t="s">
        <v>83</v>
      </c>
      <c r="D10" s="13"/>
      <c r="E10" s="14" t="s">
        <v>84</v>
      </c>
      <c r="F10" s="18"/>
      <c r="G10" s="19" t="s">
        <v>85</v>
      </c>
      <c r="H10" s="16" t="s">
        <v>21</v>
      </c>
    </row>
    <row r="11" spans="1:16" ht="135" customHeight="1" x14ac:dyDescent="0.25">
      <c r="A11" s="27">
        <v>44629</v>
      </c>
      <c r="B11" s="28" t="s">
        <v>78</v>
      </c>
      <c r="C11" s="29" t="s">
        <v>79</v>
      </c>
      <c r="D11" s="30">
        <v>1</v>
      </c>
      <c r="E11" s="31" t="s">
        <v>87</v>
      </c>
      <c r="F11" s="32" t="s">
        <v>88</v>
      </c>
      <c r="G11" s="33" t="s">
        <v>89</v>
      </c>
      <c r="H11" s="34" t="s">
        <v>21</v>
      </c>
    </row>
    <row r="12" spans="1:16" ht="114" customHeight="1" x14ac:dyDescent="0.25">
      <c r="A12" s="27">
        <v>44635</v>
      </c>
      <c r="B12" s="28" t="s">
        <v>90</v>
      </c>
      <c r="C12" s="29" t="s">
        <v>69</v>
      </c>
      <c r="D12" s="30">
        <v>17</v>
      </c>
      <c r="E12" s="31" t="s">
        <v>91</v>
      </c>
      <c r="F12" s="35" t="s">
        <v>92</v>
      </c>
      <c r="G12" s="33" t="s">
        <v>93</v>
      </c>
      <c r="H12" s="34" t="s">
        <v>21</v>
      </c>
    </row>
    <row r="13" spans="1:16" ht="114" customHeight="1" x14ac:dyDescent="0.25">
      <c r="A13" s="27">
        <v>44665</v>
      </c>
      <c r="B13" s="28" t="s">
        <v>94</v>
      </c>
      <c r="C13" s="29" t="s">
        <v>41</v>
      </c>
      <c r="D13" s="30">
        <v>76</v>
      </c>
      <c r="E13" s="31" t="s">
        <v>95</v>
      </c>
      <c r="F13" s="35" t="s">
        <v>96</v>
      </c>
      <c r="G13" s="33" t="s">
        <v>97</v>
      </c>
      <c r="H13" s="34" t="s">
        <v>21</v>
      </c>
    </row>
    <row r="14" spans="1:16" ht="114" customHeight="1" x14ac:dyDescent="0.25">
      <c r="A14" s="27">
        <v>44706</v>
      </c>
      <c r="B14" s="28" t="s">
        <v>128</v>
      </c>
      <c r="C14" s="29" t="s">
        <v>129</v>
      </c>
      <c r="D14" s="30">
        <v>2800</v>
      </c>
      <c r="E14" s="31" t="s">
        <v>95</v>
      </c>
      <c r="F14" s="35" t="s">
        <v>130</v>
      </c>
      <c r="G14" s="33" t="s">
        <v>131</v>
      </c>
      <c r="H14" s="34" t="s">
        <v>21</v>
      </c>
    </row>
    <row r="15" spans="1:16" ht="114" customHeight="1" x14ac:dyDescent="0.25">
      <c r="A15" s="39" t="s">
        <v>98</v>
      </c>
      <c r="B15" s="40" t="s">
        <v>99</v>
      </c>
      <c r="C15" s="41" t="s">
        <v>100</v>
      </c>
      <c r="D15" s="42"/>
      <c r="E15" s="43" t="s">
        <v>101</v>
      </c>
      <c r="F15" s="44" t="s">
        <v>112</v>
      </c>
      <c r="G15" s="45" t="s">
        <v>125</v>
      </c>
      <c r="H15" s="46" t="s">
        <v>21</v>
      </c>
    </row>
    <row r="16" spans="1:16" ht="114" customHeight="1" x14ac:dyDescent="0.25">
      <c r="A16" s="39" t="s">
        <v>102</v>
      </c>
      <c r="B16" s="40" t="s">
        <v>66</v>
      </c>
      <c r="C16" s="41" t="s">
        <v>103</v>
      </c>
      <c r="D16" s="42" t="s">
        <v>104</v>
      </c>
      <c r="E16" s="43" t="s">
        <v>101</v>
      </c>
      <c r="F16" s="44" t="s">
        <v>124</v>
      </c>
      <c r="G16" s="45" t="s">
        <v>125</v>
      </c>
      <c r="H16" s="46" t="s">
        <v>21</v>
      </c>
    </row>
    <row r="17" spans="1:8" ht="114" customHeight="1" x14ac:dyDescent="0.25">
      <c r="A17" s="97" t="s">
        <v>105</v>
      </c>
      <c r="B17" s="100" t="s">
        <v>78</v>
      </c>
      <c r="C17" s="93" t="s">
        <v>79</v>
      </c>
      <c r="D17" s="93"/>
      <c r="E17" s="41" t="s">
        <v>106</v>
      </c>
      <c r="F17" s="44" t="s">
        <v>126</v>
      </c>
      <c r="G17" s="45" t="s">
        <v>127</v>
      </c>
      <c r="H17" s="46" t="s">
        <v>21</v>
      </c>
    </row>
    <row r="18" spans="1:8" ht="114" customHeight="1" x14ac:dyDescent="0.25">
      <c r="A18" s="98"/>
      <c r="B18" s="101"/>
      <c r="C18" s="94"/>
      <c r="D18" s="94"/>
      <c r="E18" s="41" t="s">
        <v>107</v>
      </c>
      <c r="F18" s="44" t="s">
        <v>113</v>
      </c>
      <c r="G18" s="45" t="s">
        <v>114</v>
      </c>
      <c r="H18" s="46" t="s">
        <v>21</v>
      </c>
    </row>
    <row r="19" spans="1:8" ht="317.25" customHeight="1" x14ac:dyDescent="0.25">
      <c r="A19" s="99"/>
      <c r="B19" s="102"/>
      <c r="C19" s="95"/>
      <c r="D19" s="95"/>
      <c r="E19" s="41" t="s">
        <v>108</v>
      </c>
      <c r="F19" s="44" t="s">
        <v>115</v>
      </c>
      <c r="G19" s="45" t="s">
        <v>116</v>
      </c>
      <c r="H19" s="46" t="s">
        <v>132</v>
      </c>
    </row>
    <row r="20" spans="1:8" ht="114" customHeight="1" x14ac:dyDescent="0.25">
      <c r="A20" s="39">
        <v>44736</v>
      </c>
      <c r="B20" s="47" t="s">
        <v>110</v>
      </c>
      <c r="C20" s="48" t="s">
        <v>118</v>
      </c>
      <c r="D20" s="49" t="s">
        <v>122</v>
      </c>
      <c r="E20" s="41" t="s">
        <v>111</v>
      </c>
      <c r="F20" s="44" t="s">
        <v>117</v>
      </c>
      <c r="G20" s="45" t="s">
        <v>125</v>
      </c>
      <c r="H20" s="46" t="s">
        <v>21</v>
      </c>
    </row>
    <row r="21" spans="1:8" ht="114" customHeight="1" x14ac:dyDescent="0.25">
      <c r="A21" s="50" t="s">
        <v>109</v>
      </c>
      <c r="B21" s="51" t="s">
        <v>36</v>
      </c>
      <c r="C21" s="42" t="s">
        <v>12</v>
      </c>
      <c r="D21" s="52" t="s">
        <v>123</v>
      </c>
      <c r="E21" s="41" t="s">
        <v>119</v>
      </c>
      <c r="F21" s="44" t="s">
        <v>120</v>
      </c>
      <c r="G21" s="45" t="s">
        <v>121</v>
      </c>
      <c r="H21" s="46" t="s">
        <v>132</v>
      </c>
    </row>
    <row r="22" spans="1:8" ht="114" customHeight="1" x14ac:dyDescent="0.25">
      <c r="A22" s="50">
        <v>44749</v>
      </c>
      <c r="B22" s="51" t="s">
        <v>36</v>
      </c>
      <c r="C22" s="42" t="s">
        <v>144</v>
      </c>
      <c r="D22" s="52" t="s">
        <v>13</v>
      </c>
      <c r="E22" s="41" t="s">
        <v>145</v>
      </c>
      <c r="F22" s="44" t="s">
        <v>147</v>
      </c>
      <c r="G22" s="45" t="s">
        <v>146</v>
      </c>
      <c r="H22" s="46" t="s">
        <v>21</v>
      </c>
    </row>
    <row r="23" spans="1:8" ht="117" customHeight="1" x14ac:dyDescent="0.25">
      <c r="A23" s="50">
        <v>44760</v>
      </c>
      <c r="B23" s="53" t="s">
        <v>133</v>
      </c>
      <c r="C23" s="42" t="s">
        <v>134</v>
      </c>
      <c r="D23" s="52" t="s">
        <v>135</v>
      </c>
      <c r="E23" s="41" t="s">
        <v>136</v>
      </c>
      <c r="F23" s="44" t="s">
        <v>137</v>
      </c>
      <c r="G23" s="45" t="s">
        <v>138</v>
      </c>
      <c r="H23" s="46" t="s">
        <v>21</v>
      </c>
    </row>
    <row r="24" spans="1:8" ht="117" customHeight="1" x14ac:dyDescent="0.25">
      <c r="A24" s="50">
        <v>44760</v>
      </c>
      <c r="B24" s="53" t="s">
        <v>139</v>
      </c>
      <c r="C24" s="42" t="s">
        <v>140</v>
      </c>
      <c r="D24" s="52" t="s">
        <v>141</v>
      </c>
      <c r="E24" s="41" t="s">
        <v>142</v>
      </c>
      <c r="F24" s="44" t="s">
        <v>143</v>
      </c>
      <c r="G24" s="45" t="s">
        <v>138</v>
      </c>
      <c r="H24" s="46" t="s">
        <v>21</v>
      </c>
    </row>
    <row r="25" spans="1:8" ht="117" customHeight="1" x14ac:dyDescent="0.25">
      <c r="A25" s="50">
        <v>44789</v>
      </c>
      <c r="B25" s="53" t="s">
        <v>148</v>
      </c>
      <c r="C25" s="30" t="s">
        <v>17</v>
      </c>
      <c r="D25" s="54">
        <v>199</v>
      </c>
      <c r="E25" s="41" t="s">
        <v>149</v>
      </c>
      <c r="F25" s="35" t="s">
        <v>150</v>
      </c>
      <c r="G25" s="45" t="s">
        <v>151</v>
      </c>
      <c r="H25" s="46" t="s">
        <v>21</v>
      </c>
    </row>
    <row r="26" spans="1:8" ht="117" customHeight="1" x14ac:dyDescent="0.25">
      <c r="A26" s="50">
        <v>44810</v>
      </c>
      <c r="B26" s="53" t="s">
        <v>36</v>
      </c>
      <c r="C26" s="42" t="s">
        <v>152</v>
      </c>
      <c r="D26" s="54">
        <v>1</v>
      </c>
      <c r="E26" s="41" t="s">
        <v>153</v>
      </c>
      <c r="F26" s="44" t="s">
        <v>154</v>
      </c>
      <c r="G26" s="45" t="s">
        <v>155</v>
      </c>
      <c r="H26" s="46" t="s">
        <v>21</v>
      </c>
    </row>
    <row r="27" spans="1:8" ht="117" customHeight="1" x14ac:dyDescent="0.25">
      <c r="A27" s="50">
        <v>44821</v>
      </c>
      <c r="B27" s="53" t="s">
        <v>148</v>
      </c>
      <c r="C27" s="42" t="s">
        <v>17</v>
      </c>
      <c r="D27" s="54"/>
      <c r="E27" s="41" t="s">
        <v>156</v>
      </c>
      <c r="F27" s="44" t="s">
        <v>157</v>
      </c>
      <c r="G27" s="45" t="s">
        <v>158</v>
      </c>
      <c r="H27" s="46" t="s">
        <v>21</v>
      </c>
    </row>
    <row r="28" spans="1:8" ht="117" customHeight="1" x14ac:dyDescent="0.25">
      <c r="A28" s="50">
        <v>44840</v>
      </c>
      <c r="B28" s="53" t="s">
        <v>139</v>
      </c>
      <c r="C28" s="42" t="s">
        <v>152</v>
      </c>
      <c r="D28" s="54">
        <v>43</v>
      </c>
      <c r="E28" s="41" t="s">
        <v>164</v>
      </c>
      <c r="F28" s="44" t="s">
        <v>161</v>
      </c>
      <c r="G28" s="45" t="s">
        <v>162</v>
      </c>
      <c r="H28" s="46" t="s">
        <v>21</v>
      </c>
    </row>
    <row r="29" spans="1:8" ht="117" customHeight="1" x14ac:dyDescent="0.25">
      <c r="A29" s="50">
        <v>44841</v>
      </c>
      <c r="B29" s="53" t="s">
        <v>159</v>
      </c>
      <c r="C29" s="42" t="s">
        <v>160</v>
      </c>
      <c r="D29" s="54">
        <v>1</v>
      </c>
      <c r="E29" s="41" t="s">
        <v>163</v>
      </c>
      <c r="F29" s="44" t="s">
        <v>161</v>
      </c>
      <c r="G29" s="45" t="s">
        <v>162</v>
      </c>
      <c r="H29" s="46" t="s">
        <v>21</v>
      </c>
    </row>
    <row r="30" spans="1:8" ht="117" customHeight="1" x14ac:dyDescent="0.25">
      <c r="A30" s="103">
        <v>44890</v>
      </c>
      <c r="B30" s="100" t="s">
        <v>78</v>
      </c>
      <c r="C30" s="93" t="s">
        <v>79</v>
      </c>
      <c r="D30" s="54"/>
      <c r="E30" s="41" t="s">
        <v>165</v>
      </c>
      <c r="F30" s="44" t="s">
        <v>166</v>
      </c>
      <c r="G30" s="45" t="s">
        <v>167</v>
      </c>
      <c r="H30" s="46" t="s">
        <v>21</v>
      </c>
    </row>
    <row r="31" spans="1:8" ht="117" customHeight="1" x14ac:dyDescent="0.25">
      <c r="A31" s="104"/>
      <c r="B31" s="102"/>
      <c r="C31" s="95"/>
      <c r="D31" s="54"/>
      <c r="E31" s="41" t="s">
        <v>168</v>
      </c>
      <c r="F31" s="44" t="s">
        <v>169</v>
      </c>
      <c r="G31" s="45" t="s">
        <v>170</v>
      </c>
      <c r="H31" s="46" t="s">
        <v>21</v>
      </c>
    </row>
    <row r="32" spans="1:8" ht="117" customHeight="1" x14ac:dyDescent="0.25">
      <c r="A32" s="39" t="s">
        <v>63</v>
      </c>
      <c r="B32" s="96" t="s">
        <v>171</v>
      </c>
      <c r="C32" s="96"/>
      <c r="D32" s="96"/>
      <c r="E32" s="96"/>
      <c r="F32" s="96"/>
      <c r="G32" s="96"/>
      <c r="H32" s="96"/>
    </row>
    <row r="33" spans="1:14" ht="15.75" thickBot="1" x14ac:dyDescent="0.3">
      <c r="A33" s="20" t="s">
        <v>49</v>
      </c>
      <c r="B33" s="78" t="s">
        <v>86</v>
      </c>
      <c r="C33" s="79"/>
      <c r="D33" s="79"/>
      <c r="E33" s="79"/>
      <c r="F33" s="79"/>
      <c r="G33" s="79"/>
      <c r="H33" s="79"/>
      <c r="I33" s="79"/>
      <c r="J33" s="79"/>
      <c r="K33" s="79"/>
      <c r="L33" s="79"/>
      <c r="M33" s="80"/>
      <c r="N33" s="69" t="s">
        <v>51</v>
      </c>
    </row>
    <row r="34" spans="1:14" ht="24" customHeight="1" thickBot="1" x14ac:dyDescent="0.3">
      <c r="A34" s="21"/>
      <c r="B34" s="21" t="s">
        <v>52</v>
      </c>
      <c r="C34" s="21" t="s">
        <v>53</v>
      </c>
      <c r="D34" s="21" t="s">
        <v>54</v>
      </c>
      <c r="E34" s="21" t="s">
        <v>55</v>
      </c>
      <c r="F34" s="21" t="s">
        <v>56</v>
      </c>
      <c r="G34" s="21" t="s">
        <v>57</v>
      </c>
      <c r="H34" s="21" t="s">
        <v>58</v>
      </c>
      <c r="I34" s="21" t="s">
        <v>59</v>
      </c>
      <c r="J34" s="21" t="s">
        <v>60</v>
      </c>
      <c r="K34" s="21" t="s">
        <v>61</v>
      </c>
      <c r="L34" s="21" t="s">
        <v>62</v>
      </c>
      <c r="M34" s="21" t="s">
        <v>63</v>
      </c>
      <c r="N34" s="70"/>
    </row>
    <row r="35" spans="1:14" x14ac:dyDescent="0.25">
      <c r="A35" s="22" t="s">
        <v>76</v>
      </c>
      <c r="B35" s="23">
        <v>3</v>
      </c>
      <c r="C35" s="23">
        <v>2</v>
      </c>
      <c r="D35" s="23">
        <v>2</v>
      </c>
      <c r="E35" s="23">
        <v>1</v>
      </c>
      <c r="F35" s="23">
        <v>1</v>
      </c>
      <c r="G35" s="23">
        <v>5</v>
      </c>
      <c r="H35" s="23">
        <v>3</v>
      </c>
      <c r="I35" s="23">
        <v>1</v>
      </c>
      <c r="J35" s="23">
        <v>2</v>
      </c>
      <c r="K35" s="23">
        <v>2</v>
      </c>
      <c r="L35" s="23">
        <v>2</v>
      </c>
      <c r="M35" s="23">
        <v>0</v>
      </c>
      <c r="N35" s="24">
        <f>SUM(B35:M35)</f>
        <v>24</v>
      </c>
    </row>
    <row r="36" spans="1:14" x14ac:dyDescent="0.25">
      <c r="A36" s="25" t="s">
        <v>65</v>
      </c>
      <c r="B36" s="12">
        <v>3</v>
      </c>
      <c r="C36" s="12">
        <v>1</v>
      </c>
      <c r="D36" s="12">
        <v>2</v>
      </c>
      <c r="E36" s="12">
        <v>1</v>
      </c>
      <c r="F36" s="12">
        <v>1</v>
      </c>
      <c r="G36" s="12">
        <v>0</v>
      </c>
      <c r="H36" s="12">
        <v>1</v>
      </c>
      <c r="I36" s="12">
        <v>2</v>
      </c>
      <c r="J36" s="12">
        <v>1</v>
      </c>
      <c r="K36" s="12">
        <v>1</v>
      </c>
      <c r="L36" s="12">
        <v>3</v>
      </c>
      <c r="M36" s="12">
        <v>2</v>
      </c>
      <c r="N36" s="26">
        <f>SUM(B36:M36)</f>
        <v>18</v>
      </c>
    </row>
    <row r="54" spans="2:3" x14ac:dyDescent="0.25">
      <c r="B54" s="71"/>
      <c r="C54" s="71"/>
    </row>
  </sheetData>
  <mergeCells count="20">
    <mergeCell ref="A17:A19"/>
    <mergeCell ref="B17:B19"/>
    <mergeCell ref="C17:C19"/>
    <mergeCell ref="A30:A31"/>
    <mergeCell ref="B30:B31"/>
    <mergeCell ref="C30:C31"/>
    <mergeCell ref="A1:H1"/>
    <mergeCell ref="A2:H2"/>
    <mergeCell ref="A4:A5"/>
    <mergeCell ref="B4:B5"/>
    <mergeCell ref="C4:C5"/>
    <mergeCell ref="E4:E5"/>
    <mergeCell ref="F4:F5"/>
    <mergeCell ref="G4:G5"/>
    <mergeCell ref="H4:H5"/>
    <mergeCell ref="D17:D19"/>
    <mergeCell ref="N33:N34"/>
    <mergeCell ref="B32:H32"/>
    <mergeCell ref="B54:C54"/>
    <mergeCell ref="B33:M3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C398B-A9E1-4F3B-80DE-A10DFA0133A8}">
  <dimension ref="A1:N44"/>
  <sheetViews>
    <sheetView showGridLines="0" tabSelected="1" zoomScale="70" zoomScaleNormal="70" workbookViewId="0">
      <pane ySplit="5" topLeftCell="A12" activePane="bottomLeft" state="frozen"/>
      <selection pane="bottomLeft" activeCell="A16" sqref="A16:XFD16"/>
    </sheetView>
  </sheetViews>
  <sheetFormatPr defaultColWidth="9.140625" defaultRowHeight="15" x14ac:dyDescent="0.25"/>
  <cols>
    <col min="1" max="1" width="21" customWidth="1"/>
    <col min="2" max="2" width="18.42578125" customWidth="1"/>
    <col min="3" max="3" width="15" customWidth="1"/>
    <col min="4" max="4" width="11.140625" customWidth="1"/>
    <col min="5" max="5" width="30.42578125" customWidth="1"/>
    <col min="6" max="7" width="46.140625" customWidth="1"/>
    <col min="8" max="8" width="46.5703125" customWidth="1"/>
    <col min="9" max="9" width="14" customWidth="1"/>
    <col min="10" max="10" width="11" customWidth="1"/>
    <col min="11" max="11" width="12.28515625" customWidth="1"/>
    <col min="12" max="12" width="9.7109375" customWidth="1"/>
    <col min="13" max="13" width="10.42578125" customWidth="1"/>
  </cols>
  <sheetData>
    <row r="1" spans="1:14" ht="26.25" x14ac:dyDescent="0.4">
      <c r="A1" s="81" t="s">
        <v>0</v>
      </c>
      <c r="B1" s="81"/>
      <c r="C1" s="81"/>
      <c r="D1" s="81"/>
      <c r="E1" s="81"/>
      <c r="F1" s="81"/>
      <c r="G1" s="81"/>
      <c r="H1" s="81"/>
      <c r="I1" s="81"/>
      <c r="J1" s="1"/>
      <c r="K1" s="1"/>
      <c r="L1" s="1"/>
      <c r="M1" s="1"/>
      <c r="N1" s="1"/>
    </row>
    <row r="2" spans="1:14" ht="26.25" x14ac:dyDescent="0.4">
      <c r="A2" s="82" t="s">
        <v>205</v>
      </c>
      <c r="B2" s="82"/>
      <c r="C2" s="82"/>
      <c r="D2" s="82"/>
      <c r="E2" s="82"/>
      <c r="F2" s="82"/>
      <c r="G2" s="82"/>
      <c r="H2" s="82"/>
      <c r="I2" s="82"/>
      <c r="J2" s="2"/>
      <c r="K2" s="2"/>
      <c r="L2" s="2"/>
      <c r="M2" s="2"/>
      <c r="N2" s="2"/>
    </row>
    <row r="4" spans="1:14" ht="16.5" x14ac:dyDescent="0.25">
      <c r="A4" s="83" t="s">
        <v>2</v>
      </c>
      <c r="B4" s="85" t="s">
        <v>3</v>
      </c>
      <c r="C4" s="87" t="s">
        <v>4</v>
      </c>
      <c r="D4" s="3" t="s">
        <v>5</v>
      </c>
      <c r="E4" s="89" t="s">
        <v>6</v>
      </c>
      <c r="F4" s="91" t="s">
        <v>7</v>
      </c>
      <c r="G4" s="91" t="s">
        <v>8</v>
      </c>
      <c r="H4" s="91" t="s">
        <v>81</v>
      </c>
      <c r="I4" s="89" t="s">
        <v>9</v>
      </c>
    </row>
    <row r="5" spans="1:14" ht="16.5" customHeight="1" thickBot="1" x14ac:dyDescent="0.3">
      <c r="A5" s="84"/>
      <c r="B5" s="86"/>
      <c r="C5" s="88"/>
      <c r="D5" s="4" t="s">
        <v>10</v>
      </c>
      <c r="E5" s="90"/>
      <c r="F5" s="92"/>
      <c r="G5" s="105"/>
      <c r="H5" s="92"/>
      <c r="I5" s="90"/>
    </row>
    <row r="6" spans="1:14" ht="114" customHeight="1" thickBot="1" x14ac:dyDescent="0.3">
      <c r="A6" s="56">
        <v>44942</v>
      </c>
      <c r="B6" s="58" t="s">
        <v>174</v>
      </c>
      <c r="C6" s="55" t="s">
        <v>173</v>
      </c>
      <c r="D6" s="57" t="s">
        <v>135</v>
      </c>
      <c r="E6" s="55" t="s">
        <v>172</v>
      </c>
      <c r="F6" s="55" t="s">
        <v>175</v>
      </c>
      <c r="G6" s="55" t="s">
        <v>176</v>
      </c>
      <c r="H6" s="55" t="s">
        <v>177</v>
      </c>
      <c r="I6" s="55" t="s">
        <v>21</v>
      </c>
    </row>
    <row r="7" spans="1:14" ht="114" customHeight="1" thickBot="1" x14ac:dyDescent="0.3">
      <c r="A7" s="60">
        <v>44946</v>
      </c>
      <c r="B7" s="59" t="s">
        <v>181</v>
      </c>
      <c r="C7" s="59" t="s">
        <v>179</v>
      </c>
      <c r="D7" s="61" t="s">
        <v>180</v>
      </c>
      <c r="E7" s="59" t="s">
        <v>178</v>
      </c>
      <c r="F7" s="59" t="s">
        <v>182</v>
      </c>
      <c r="G7" s="59" t="s">
        <v>183</v>
      </c>
      <c r="H7" s="59" t="s">
        <v>184</v>
      </c>
      <c r="I7" s="55" t="s">
        <v>21</v>
      </c>
    </row>
    <row r="8" spans="1:14" ht="114" customHeight="1" thickBot="1" x14ac:dyDescent="0.3">
      <c r="A8" s="65">
        <v>44953</v>
      </c>
      <c r="B8" s="62" t="s">
        <v>174</v>
      </c>
      <c r="C8" s="62" t="s">
        <v>17</v>
      </c>
      <c r="D8" s="64"/>
      <c r="E8" s="62" t="s">
        <v>185</v>
      </c>
      <c r="F8" s="62" t="s">
        <v>186</v>
      </c>
      <c r="G8" s="62" t="s">
        <v>187</v>
      </c>
      <c r="H8" s="62" t="s">
        <v>188</v>
      </c>
      <c r="I8" s="55" t="s">
        <v>21</v>
      </c>
    </row>
    <row r="9" spans="1:14" ht="114" customHeight="1" thickBot="1" x14ac:dyDescent="0.3">
      <c r="A9" s="65">
        <v>44954</v>
      </c>
      <c r="B9" s="62" t="s">
        <v>190</v>
      </c>
      <c r="C9" s="62" t="s">
        <v>69</v>
      </c>
      <c r="D9" s="62">
        <v>170</v>
      </c>
      <c r="E9" s="62" t="s">
        <v>189</v>
      </c>
      <c r="F9" s="62" t="s">
        <v>191</v>
      </c>
      <c r="G9" s="62" t="s">
        <v>192</v>
      </c>
      <c r="H9" s="62" t="s">
        <v>193</v>
      </c>
      <c r="I9" s="55" t="s">
        <v>21</v>
      </c>
    </row>
    <row r="10" spans="1:14" ht="114" customHeight="1" thickBot="1" x14ac:dyDescent="0.3">
      <c r="A10" s="65">
        <v>44952</v>
      </c>
      <c r="B10" s="62" t="s">
        <v>196</v>
      </c>
      <c r="C10" s="62" t="s">
        <v>195</v>
      </c>
      <c r="D10" s="64"/>
      <c r="E10" s="62" t="s">
        <v>194</v>
      </c>
      <c r="F10" s="62" t="s">
        <v>197</v>
      </c>
      <c r="G10" s="62" t="s">
        <v>198</v>
      </c>
      <c r="H10" s="59" t="s">
        <v>199</v>
      </c>
      <c r="I10" s="55" t="s">
        <v>21</v>
      </c>
    </row>
    <row r="11" spans="1:14" ht="114" customHeight="1" thickBot="1" x14ac:dyDescent="0.3">
      <c r="A11" s="66">
        <v>44957</v>
      </c>
      <c r="B11" s="63" t="s">
        <v>201</v>
      </c>
      <c r="C11" s="63" t="s">
        <v>118</v>
      </c>
      <c r="D11" s="63">
        <v>3</v>
      </c>
      <c r="E11" s="63" t="s">
        <v>200</v>
      </c>
      <c r="F11" s="63" t="s">
        <v>202</v>
      </c>
      <c r="G11" s="63" t="s">
        <v>203</v>
      </c>
      <c r="H11" s="63" t="s">
        <v>204</v>
      </c>
      <c r="I11" s="55" t="s">
        <v>21</v>
      </c>
    </row>
    <row r="12" spans="1:14" ht="114" customHeight="1" thickBot="1" x14ac:dyDescent="0.3">
      <c r="A12" s="65">
        <v>44980</v>
      </c>
      <c r="B12" s="62" t="s">
        <v>208</v>
      </c>
      <c r="C12" s="62" t="s">
        <v>213</v>
      </c>
      <c r="D12" s="64">
        <v>2</v>
      </c>
      <c r="E12" s="62" t="s">
        <v>209</v>
      </c>
      <c r="F12" s="62" t="s">
        <v>210</v>
      </c>
      <c r="G12" s="62" t="s">
        <v>211</v>
      </c>
      <c r="H12" s="59" t="s">
        <v>212</v>
      </c>
      <c r="I12" s="55" t="s">
        <v>21</v>
      </c>
    </row>
    <row r="13" spans="1:14" ht="114" customHeight="1" thickBot="1" x14ac:dyDescent="0.3">
      <c r="A13" s="65"/>
      <c r="B13" s="62" t="s">
        <v>230</v>
      </c>
      <c r="C13" s="62" t="s">
        <v>79</v>
      </c>
      <c r="D13" s="64">
        <v>1</v>
      </c>
      <c r="E13" s="62" t="s">
        <v>231</v>
      </c>
      <c r="F13" s="62" t="s">
        <v>232</v>
      </c>
      <c r="G13" s="62"/>
      <c r="H13" s="59" t="s">
        <v>233</v>
      </c>
      <c r="I13" s="55" t="s">
        <v>234</v>
      </c>
    </row>
    <row r="14" spans="1:14" ht="114" customHeight="1" thickBot="1" x14ac:dyDescent="0.3">
      <c r="A14" s="65" t="s">
        <v>225</v>
      </c>
      <c r="B14" s="62" t="s">
        <v>223</v>
      </c>
      <c r="C14" s="62" t="s">
        <v>69</v>
      </c>
      <c r="D14" s="64">
        <v>1</v>
      </c>
      <c r="E14" s="62" t="s">
        <v>226</v>
      </c>
      <c r="F14" s="62" t="s">
        <v>227</v>
      </c>
      <c r="G14" s="62" t="s">
        <v>228</v>
      </c>
      <c r="H14" s="59" t="s">
        <v>229</v>
      </c>
      <c r="I14" s="55" t="s">
        <v>21</v>
      </c>
    </row>
    <row r="15" spans="1:14" ht="114" customHeight="1" thickBot="1" x14ac:dyDescent="0.3">
      <c r="A15" s="65" t="s">
        <v>224</v>
      </c>
      <c r="B15" s="68" t="s">
        <v>207</v>
      </c>
      <c r="C15" s="62" t="s">
        <v>219</v>
      </c>
      <c r="D15" s="64">
        <v>1</v>
      </c>
      <c r="E15" s="62" t="s">
        <v>220</v>
      </c>
      <c r="F15" s="62" t="s">
        <v>221</v>
      </c>
      <c r="G15" s="62"/>
      <c r="H15" s="59" t="s">
        <v>222</v>
      </c>
      <c r="I15" s="55"/>
    </row>
    <row r="16" spans="1:14" ht="114" customHeight="1" thickBot="1" x14ac:dyDescent="0.3">
      <c r="A16" s="66">
        <v>44988</v>
      </c>
      <c r="B16" s="68" t="s">
        <v>207</v>
      </c>
      <c r="C16" s="63" t="s">
        <v>214</v>
      </c>
      <c r="D16" s="63">
        <v>3</v>
      </c>
      <c r="E16" s="63" t="s">
        <v>215</v>
      </c>
      <c r="F16" s="63" t="s">
        <v>216</v>
      </c>
      <c r="G16" s="63" t="s">
        <v>217</v>
      </c>
      <c r="H16" s="63" t="s">
        <v>218</v>
      </c>
      <c r="I16" s="55" t="s">
        <v>15</v>
      </c>
    </row>
    <row r="17" spans="1:13" ht="114" customHeight="1" thickBot="1" x14ac:dyDescent="0.3">
      <c r="A17" s="66">
        <v>45021</v>
      </c>
      <c r="B17" s="68" t="s">
        <v>235</v>
      </c>
      <c r="C17" s="63" t="s">
        <v>236</v>
      </c>
      <c r="D17" s="63">
        <v>3</v>
      </c>
      <c r="E17" s="63" t="s">
        <v>237</v>
      </c>
      <c r="F17" s="63" t="s">
        <v>238</v>
      </c>
      <c r="G17" s="63" t="s">
        <v>239</v>
      </c>
      <c r="H17" s="63" t="s">
        <v>240</v>
      </c>
      <c r="I17" s="55" t="s">
        <v>241</v>
      </c>
    </row>
    <row r="18" spans="1:13" ht="114" customHeight="1" thickBot="1" x14ac:dyDescent="0.3">
      <c r="A18" s="67" t="s">
        <v>242</v>
      </c>
      <c r="B18" s="68" t="s">
        <v>246</v>
      </c>
      <c r="C18" s="63" t="s">
        <v>247</v>
      </c>
      <c r="D18" s="63">
        <v>1</v>
      </c>
      <c r="E18" s="63" t="s">
        <v>248</v>
      </c>
      <c r="F18" s="63"/>
      <c r="G18" s="63"/>
      <c r="H18" s="63"/>
      <c r="I18" s="55" t="s">
        <v>15</v>
      </c>
    </row>
    <row r="19" spans="1:13" ht="114" customHeight="1" thickBot="1" x14ac:dyDescent="0.3">
      <c r="A19" s="67" t="s">
        <v>243</v>
      </c>
      <c r="B19" s="68" t="s">
        <v>249</v>
      </c>
      <c r="C19" s="63" t="s">
        <v>250</v>
      </c>
      <c r="D19" s="63"/>
      <c r="E19" s="63" t="s">
        <v>251</v>
      </c>
      <c r="F19" s="63" t="s">
        <v>252</v>
      </c>
      <c r="G19" s="63" t="s">
        <v>253</v>
      </c>
      <c r="H19" s="63" t="s">
        <v>254</v>
      </c>
      <c r="I19" s="55" t="s">
        <v>241</v>
      </c>
    </row>
    <row r="20" spans="1:13" ht="114" customHeight="1" thickBot="1" x14ac:dyDescent="0.3">
      <c r="A20" s="67" t="s">
        <v>244</v>
      </c>
      <c r="B20" s="68" t="s">
        <v>255</v>
      </c>
      <c r="C20" s="63" t="s">
        <v>129</v>
      </c>
      <c r="D20" s="63" t="s">
        <v>256</v>
      </c>
      <c r="E20" s="63" t="s">
        <v>257</v>
      </c>
      <c r="F20" s="63" t="s">
        <v>258</v>
      </c>
      <c r="G20" s="63" t="s">
        <v>260</v>
      </c>
      <c r="H20" s="63" t="s">
        <v>259</v>
      </c>
      <c r="I20" s="55" t="s">
        <v>241</v>
      </c>
    </row>
    <row r="21" spans="1:13" ht="114" customHeight="1" thickBot="1" x14ac:dyDescent="0.3">
      <c r="A21" s="67" t="s">
        <v>245</v>
      </c>
      <c r="B21" s="68" t="s">
        <v>261</v>
      </c>
      <c r="C21" s="63" t="s">
        <v>236</v>
      </c>
      <c r="D21" s="63" t="s">
        <v>262</v>
      </c>
      <c r="E21" s="63" t="s">
        <v>263</v>
      </c>
      <c r="F21" s="63"/>
      <c r="G21" s="63"/>
      <c r="H21" s="63"/>
      <c r="I21" s="55" t="s">
        <v>15</v>
      </c>
    </row>
    <row r="22" spans="1:13" ht="135" customHeight="1" thickBot="1" x14ac:dyDescent="0.3">
      <c r="A22" s="67" t="s">
        <v>271</v>
      </c>
      <c r="B22" s="68" t="s">
        <v>264</v>
      </c>
      <c r="C22" s="63" t="s">
        <v>265</v>
      </c>
      <c r="D22" s="63" t="s">
        <v>266</v>
      </c>
      <c r="E22" s="63" t="s">
        <v>267</v>
      </c>
      <c r="F22" s="63" t="s">
        <v>268</v>
      </c>
      <c r="G22" s="63" t="s">
        <v>269</v>
      </c>
      <c r="H22" s="63" t="s">
        <v>270</v>
      </c>
      <c r="I22" s="55" t="s">
        <v>241</v>
      </c>
    </row>
    <row r="23" spans="1:13" ht="15.75" thickBot="1" x14ac:dyDescent="0.3">
      <c r="A23" s="20" t="s">
        <v>49</v>
      </c>
      <c r="B23" s="78" t="s">
        <v>86</v>
      </c>
      <c r="C23" s="79"/>
      <c r="D23" s="79"/>
      <c r="E23" s="79"/>
      <c r="F23" s="79"/>
      <c r="G23" s="79"/>
      <c r="H23" s="79"/>
      <c r="I23" s="79"/>
      <c r="J23" s="79"/>
      <c r="K23" s="79"/>
      <c r="L23" s="79"/>
      <c r="M23" s="79"/>
    </row>
    <row r="24" spans="1:13" ht="24" customHeight="1" thickBot="1" x14ac:dyDescent="0.3">
      <c r="A24" s="21"/>
      <c r="B24" s="21" t="s">
        <v>52</v>
      </c>
      <c r="C24" s="21" t="s">
        <v>53</v>
      </c>
      <c r="D24" s="21" t="s">
        <v>54</v>
      </c>
      <c r="E24" s="21" t="s">
        <v>55</v>
      </c>
      <c r="F24" s="21" t="s">
        <v>56</v>
      </c>
      <c r="G24" s="21" t="s">
        <v>57</v>
      </c>
      <c r="H24" s="21" t="s">
        <v>58</v>
      </c>
      <c r="I24" s="21" t="s">
        <v>59</v>
      </c>
      <c r="J24" s="21" t="s">
        <v>60</v>
      </c>
      <c r="K24" s="21" t="s">
        <v>61</v>
      </c>
      <c r="L24" s="21" t="s">
        <v>62</v>
      </c>
      <c r="M24" s="21" t="s">
        <v>63</v>
      </c>
    </row>
    <row r="25" spans="1:13" x14ac:dyDescent="0.25">
      <c r="A25" s="22" t="s">
        <v>76</v>
      </c>
      <c r="B25" s="23">
        <v>3</v>
      </c>
      <c r="C25" s="23">
        <v>2</v>
      </c>
      <c r="D25" s="23">
        <v>2</v>
      </c>
      <c r="E25" s="23">
        <v>1</v>
      </c>
      <c r="F25" s="23">
        <v>1</v>
      </c>
      <c r="G25" s="23">
        <v>5</v>
      </c>
      <c r="H25" s="23">
        <v>3</v>
      </c>
      <c r="I25" s="23">
        <v>1</v>
      </c>
      <c r="J25" s="23">
        <v>2</v>
      </c>
      <c r="K25" s="23">
        <v>2</v>
      </c>
      <c r="L25" s="23">
        <v>2</v>
      </c>
      <c r="M25" s="23">
        <v>0</v>
      </c>
    </row>
    <row r="26" spans="1:13" x14ac:dyDescent="0.25">
      <c r="A26" s="25" t="s">
        <v>206</v>
      </c>
      <c r="B26" s="12">
        <v>4</v>
      </c>
      <c r="C26" s="12">
        <v>2</v>
      </c>
      <c r="D26" s="12">
        <v>3</v>
      </c>
      <c r="E26" s="12">
        <v>1</v>
      </c>
      <c r="F26" s="12">
        <v>5</v>
      </c>
      <c r="G26" s="12">
        <v>0</v>
      </c>
      <c r="H26" s="12">
        <v>0</v>
      </c>
      <c r="I26" s="12">
        <v>0</v>
      </c>
      <c r="J26" s="12">
        <v>0</v>
      </c>
      <c r="K26" s="12">
        <v>0</v>
      </c>
      <c r="L26" s="12">
        <v>0</v>
      </c>
      <c r="M26" s="12">
        <v>0</v>
      </c>
    </row>
    <row r="44" spans="2:3" x14ac:dyDescent="0.25">
      <c r="B44" s="71"/>
      <c r="C44" s="71"/>
    </row>
  </sheetData>
  <mergeCells count="12">
    <mergeCell ref="B23:M23"/>
    <mergeCell ref="B44:C44"/>
    <mergeCell ref="G4:G5"/>
    <mergeCell ref="A1:I1"/>
    <mergeCell ref="A2:I2"/>
    <mergeCell ref="A4:A5"/>
    <mergeCell ref="B4:B5"/>
    <mergeCell ref="C4:C5"/>
    <mergeCell ref="E4:E5"/>
    <mergeCell ref="F4:F5"/>
    <mergeCell ref="H4:H5"/>
    <mergeCell ref="I4:I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2021</vt:lpstr>
      <vt:lpstr>2022</vt:lpstr>
      <vt:lpstr>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Lutfi</cp:lastModifiedBy>
  <dcterms:created xsi:type="dcterms:W3CDTF">2022-02-07T04:04:04Z</dcterms:created>
  <dcterms:modified xsi:type="dcterms:W3CDTF">2023-07-03T17:39:01Z</dcterms:modified>
</cp:coreProperties>
</file>